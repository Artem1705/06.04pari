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olors1.xml" ContentType="application/vnd.ms-office.chartcolorsty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filterPrivacy="1"/>
  <bookViews>
    <workbookView xWindow="0" yWindow="0" windowWidth="22260" windowHeight="12648" activeTab="2"/>
  </bookViews>
  <sheets>
    <sheet name="Пример 3.1" sheetId="1" r:id="rId1"/>
    <sheet name="Пример 3.2" sheetId="2" r:id="rId2"/>
    <sheet name="Пример 3.2 - Расчеты" sheetId="4" r:id="rId3"/>
    <sheet name="Пример 3.3" sheetId="3" r:id="rId4"/>
  </sheets>
  <definedNames>
    <definedName name="_xlnm._FilterDatabase" localSheetId="0" hidden="1">'Пример 3.1'!$G$24:$M$24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3"/>
  <c r="B3"/>
  <c r="J21" i="2"/>
  <c r="I21"/>
  <c r="G21"/>
  <c r="F21"/>
  <c r="E21"/>
  <c r="D21"/>
  <c r="H21" s="1"/>
  <c r="J20"/>
  <c r="I20"/>
  <c r="G20"/>
  <c r="F20"/>
  <c r="E20"/>
  <c r="D20"/>
  <c r="H20" s="1"/>
  <c r="J19"/>
  <c r="G19"/>
  <c r="F19"/>
  <c r="I19" s="1"/>
  <c r="E19"/>
  <c r="D19"/>
  <c r="H19" s="1"/>
  <c r="J18"/>
  <c r="I18"/>
  <c r="G18"/>
  <c r="F18"/>
  <c r="E18"/>
  <c r="D18"/>
  <c r="H18" s="1"/>
  <c r="J17"/>
  <c r="G17"/>
  <c r="F17"/>
  <c r="I17" s="1"/>
  <c r="E17"/>
  <c r="D17"/>
  <c r="H17" s="1"/>
  <c r="J16"/>
  <c r="G16"/>
  <c r="F16"/>
  <c r="I16" s="1"/>
  <c r="E16"/>
  <c r="D16"/>
  <c r="H16" s="1"/>
  <c r="J15"/>
  <c r="G15"/>
  <c r="F15"/>
  <c r="I15" s="1"/>
  <c r="E15"/>
  <c r="D15"/>
  <c r="H15" s="1"/>
  <c r="J14"/>
  <c r="G14"/>
  <c r="F14"/>
  <c r="I14" s="1"/>
  <c r="E14"/>
  <c r="D14"/>
  <c r="H14" s="1"/>
  <c r="J13"/>
  <c r="I13"/>
  <c r="G13"/>
  <c r="F13"/>
  <c r="E13"/>
  <c r="D13"/>
  <c r="H13" s="1"/>
  <c r="J12"/>
  <c r="G12"/>
  <c r="F12"/>
  <c r="I12" s="1"/>
  <c r="E12"/>
  <c r="D12"/>
  <c r="H12" s="1"/>
  <c r="J11"/>
  <c r="I11"/>
  <c r="G11"/>
  <c r="F11"/>
  <c r="E11"/>
  <c r="D11"/>
  <c r="H11" s="1"/>
  <c r="J10"/>
  <c r="G10"/>
  <c r="F10"/>
  <c r="I10" s="1"/>
  <c r="E10"/>
  <c r="D10"/>
  <c r="H10" s="1"/>
  <c r="J9"/>
  <c r="G9"/>
  <c r="F9"/>
  <c r="I9" s="1"/>
  <c r="E9"/>
  <c r="D9"/>
  <c r="H9" s="1"/>
  <c r="J8"/>
  <c r="G8"/>
  <c r="F8"/>
  <c r="I8" s="1"/>
  <c r="E8"/>
  <c r="D8"/>
  <c r="H8" s="1"/>
  <c r="J7"/>
  <c r="G7"/>
  <c r="F7"/>
  <c r="I7" s="1"/>
  <c r="E7"/>
  <c r="D7"/>
  <c r="H7" s="1"/>
  <c r="J6"/>
  <c r="I6"/>
  <c r="G6"/>
  <c r="F6"/>
  <c r="E6"/>
  <c r="D6"/>
  <c r="H6" s="1"/>
  <c r="J5"/>
  <c r="G5"/>
  <c r="F5"/>
  <c r="I5" s="1"/>
  <c r="E5"/>
  <c r="D5"/>
  <c r="H5" s="1"/>
  <c r="J4"/>
  <c r="I4"/>
  <c r="G4"/>
  <c r="F4"/>
  <c r="E4"/>
  <c r="D4"/>
  <c r="H4" s="1"/>
  <c r="J3"/>
  <c r="G3"/>
  <c r="F3"/>
  <c r="I3" s="1"/>
  <c r="E3"/>
  <c r="D3"/>
  <c r="H3" s="1"/>
  <c r="J2"/>
  <c r="G2"/>
  <c r="F2"/>
  <c r="I2" s="1"/>
  <c r="E2"/>
  <c r="D2"/>
  <c r="H2" s="1"/>
  <c r="M43" i="1"/>
  <c r="P44"/>
  <c r="Q44"/>
  <c r="S44" s="1"/>
  <c r="P45"/>
  <c r="R45" s="1"/>
  <c r="Q45"/>
  <c r="S45" s="1"/>
  <c r="P46"/>
  <c r="Q46"/>
  <c r="S46" s="1"/>
  <c r="P47"/>
  <c r="R47" s="1"/>
  <c r="Q47"/>
  <c r="S47" s="1"/>
  <c r="P48"/>
  <c r="Q48"/>
  <c r="S48" s="1"/>
  <c r="P49"/>
  <c r="R49" s="1"/>
  <c r="Q49"/>
  <c r="P50"/>
  <c r="R50" s="1"/>
  <c r="Q50"/>
  <c r="S50" s="1"/>
  <c r="P51"/>
  <c r="Q51"/>
  <c r="S51" s="1"/>
  <c r="P52"/>
  <c r="R52" s="1"/>
  <c r="Q52"/>
  <c r="S52" s="1"/>
  <c r="P53"/>
  <c r="R53" s="1"/>
  <c r="Q53"/>
  <c r="S53" s="1"/>
  <c r="P54"/>
  <c r="R54" s="1"/>
  <c r="Q54"/>
  <c r="P55"/>
  <c r="Q55"/>
  <c r="S55" s="1"/>
  <c r="P56"/>
  <c r="Q56"/>
  <c r="S56" s="1"/>
  <c r="Q43"/>
  <c r="P43"/>
  <c r="R43" s="1"/>
  <c r="M19"/>
  <c r="Q4"/>
  <c r="M44"/>
  <c r="M8"/>
  <c r="T54" l="1"/>
  <c r="T48"/>
  <c r="S54"/>
  <c r="T50"/>
  <c r="M49"/>
  <c r="T51"/>
  <c r="T44"/>
  <c r="M48"/>
  <c r="I22" i="2"/>
  <c r="T53" i="1"/>
  <c r="M47"/>
  <c r="G22" i="2"/>
  <c r="T46" i="1"/>
  <c r="T52"/>
  <c r="T49"/>
  <c r="J22" i="2"/>
  <c r="H22"/>
  <c r="S49" i="1"/>
  <c r="R51"/>
  <c r="T45"/>
  <c r="R44"/>
  <c r="T47"/>
  <c r="R46"/>
  <c r="Q58"/>
  <c r="R48"/>
  <c r="P58"/>
  <c r="T43"/>
  <c r="S43"/>
  <c r="Q57"/>
  <c r="P57"/>
  <c r="U46" l="1"/>
  <c r="V46" s="1"/>
  <c r="W46" s="1"/>
  <c r="U45"/>
  <c r="V45" s="1"/>
  <c r="W45" s="1"/>
  <c r="U44"/>
  <c r="V44" s="1"/>
  <c r="W44" s="1"/>
  <c r="U47"/>
  <c r="V47" s="1"/>
  <c r="W47" s="1"/>
  <c r="U56"/>
  <c r="V56" s="1"/>
  <c r="W56" s="1"/>
  <c r="U43"/>
  <c r="V43" s="1"/>
  <c r="U54"/>
  <c r="V54" s="1"/>
  <c r="W54" s="1"/>
  <c r="U53"/>
  <c r="V53" s="1"/>
  <c r="W53" s="1"/>
  <c r="U52"/>
  <c r="V52" s="1"/>
  <c r="W52" s="1"/>
  <c r="U55"/>
  <c r="V55" s="1"/>
  <c r="W55" s="1"/>
  <c r="U50"/>
  <c r="V50" s="1"/>
  <c r="W50" s="1"/>
  <c r="U49"/>
  <c r="V49" s="1"/>
  <c r="W49" s="1"/>
  <c r="U48"/>
  <c r="V48" s="1"/>
  <c r="W48" s="1"/>
  <c r="U51"/>
  <c r="V51" s="1"/>
  <c r="W51" s="1"/>
  <c r="S58"/>
  <c r="S57"/>
  <c r="R55"/>
  <c r="T55"/>
  <c r="C16"/>
  <c r="C17"/>
  <c r="B17"/>
  <c r="B16"/>
  <c r="D3"/>
  <c r="E3"/>
  <c r="F3"/>
  <c r="D4"/>
  <c r="E4"/>
  <c r="F4"/>
  <c r="D5"/>
  <c r="E5"/>
  <c r="F5"/>
  <c r="D6"/>
  <c r="E6"/>
  <c r="F6"/>
  <c r="D7"/>
  <c r="E7"/>
  <c r="F7"/>
  <c r="D8"/>
  <c r="E8"/>
  <c r="F8"/>
  <c r="D9"/>
  <c r="E9"/>
  <c r="F9"/>
  <c r="D10"/>
  <c r="E10"/>
  <c r="F10"/>
  <c r="D11"/>
  <c r="E11"/>
  <c r="F11"/>
  <c r="D12"/>
  <c r="E12"/>
  <c r="F12"/>
  <c r="D13"/>
  <c r="E13"/>
  <c r="F13"/>
  <c r="D14"/>
  <c r="E14"/>
  <c r="F14"/>
  <c r="D15"/>
  <c r="E15"/>
  <c r="F15"/>
  <c r="F2"/>
  <c r="E2"/>
  <c r="D2"/>
  <c r="D17" l="1"/>
  <c r="U57"/>
  <c r="G6"/>
  <c r="H6" s="1"/>
  <c r="J6" s="1"/>
  <c r="J34"/>
  <c r="G3"/>
  <c r="H3" s="1"/>
  <c r="J3" s="1"/>
  <c r="F17"/>
  <c r="J25" s="1"/>
  <c r="F16"/>
  <c r="D16"/>
  <c r="U58"/>
  <c r="E16"/>
  <c r="E17"/>
  <c r="W43"/>
  <c r="R56"/>
  <c r="T56"/>
  <c r="G2" l="1"/>
  <c r="J27"/>
  <c r="I6"/>
  <c r="M10"/>
  <c r="M2"/>
  <c r="G15"/>
  <c r="H15" s="1"/>
  <c r="J15" s="1"/>
  <c r="J38"/>
  <c r="J26"/>
  <c r="G13"/>
  <c r="H13" s="1"/>
  <c r="J13" s="1"/>
  <c r="J31"/>
  <c r="G12"/>
  <c r="H12" s="1"/>
  <c r="J12" s="1"/>
  <c r="J28"/>
  <c r="H2"/>
  <c r="J2" s="1"/>
  <c r="J16" s="1"/>
  <c r="M42" s="1"/>
  <c r="G11"/>
  <c r="H11" s="1"/>
  <c r="J11" s="1"/>
  <c r="M11"/>
  <c r="G14"/>
  <c r="H14" s="1"/>
  <c r="J14" s="1"/>
  <c r="J30"/>
  <c r="G9"/>
  <c r="H9" s="1"/>
  <c r="J9" s="1"/>
  <c r="J36"/>
  <c r="G8"/>
  <c r="H8" s="1"/>
  <c r="J8" s="1"/>
  <c r="J32"/>
  <c r="I3"/>
  <c r="G7"/>
  <c r="H7" s="1"/>
  <c r="J7" s="1"/>
  <c r="J29"/>
  <c r="G10"/>
  <c r="H10" s="1"/>
  <c r="J10" s="1"/>
  <c r="J35"/>
  <c r="G5"/>
  <c r="H5" s="1"/>
  <c r="J5" s="1"/>
  <c r="J33"/>
  <c r="G4"/>
  <c r="H4" s="1"/>
  <c r="J4" s="1"/>
  <c r="J37"/>
  <c r="T57"/>
  <c r="T58"/>
  <c r="R57"/>
  <c r="R58"/>
  <c r="I5" l="1"/>
  <c r="I9"/>
  <c r="I12"/>
  <c r="I15"/>
  <c r="I7"/>
  <c r="I11"/>
  <c r="G17"/>
  <c r="G16"/>
  <c r="I4"/>
  <c r="I10"/>
  <c r="I8"/>
  <c r="I14"/>
  <c r="H16"/>
  <c r="M21"/>
  <c r="I2"/>
  <c r="H17"/>
  <c r="I13"/>
  <c r="M4"/>
  <c r="P11"/>
  <c r="I41"/>
  <c r="M6"/>
  <c r="W58"/>
  <c r="W57"/>
  <c r="M40"/>
  <c r="M41" s="1"/>
  <c r="Q6"/>
  <c r="O6"/>
  <c r="M7" l="1"/>
  <c r="O7"/>
  <c r="Q7"/>
  <c r="I16"/>
  <c r="M13"/>
  <c r="I17"/>
  <c r="M17"/>
  <c r="M18" s="1"/>
  <c r="M15"/>
  <c r="P10"/>
  <c r="V57"/>
  <c r="V58"/>
  <c r="K28" l="1"/>
  <c r="K32"/>
  <c r="K37"/>
  <c r="K26"/>
  <c r="I43"/>
  <c r="K29"/>
  <c r="K34"/>
  <c r="K38"/>
  <c r="K30"/>
  <c r="K35"/>
  <c r="K25"/>
  <c r="K27"/>
  <c r="K31"/>
  <c r="K36"/>
  <c r="K33"/>
  <c r="M16"/>
  <c r="Q15"/>
  <c r="O15"/>
  <c r="M27" l="1"/>
  <c r="L27"/>
  <c r="L38"/>
  <c r="M38"/>
  <c r="M26"/>
  <c r="L26"/>
  <c r="M33"/>
  <c r="L33"/>
  <c r="M25"/>
  <c r="L25"/>
  <c r="L34"/>
  <c r="M34"/>
  <c r="L37"/>
  <c r="M37"/>
  <c r="M36"/>
  <c r="L36"/>
  <c r="L35"/>
  <c r="M35"/>
  <c r="M29"/>
  <c r="L29"/>
  <c r="M32"/>
  <c r="L32"/>
  <c r="L31"/>
  <c r="M31"/>
  <c r="M30"/>
  <c r="L30"/>
  <c r="M28"/>
  <c r="L28"/>
  <c r="I45"/>
  <c r="I44"/>
</calcChain>
</file>

<file path=xl/sharedStrings.xml><?xml version="1.0" encoding="utf-8"?>
<sst xmlns="http://schemas.openxmlformats.org/spreadsheetml/2006/main" count="205" uniqueCount="116">
  <si>
    <t>i</t>
  </si>
  <si>
    <t>xi</t>
  </si>
  <si>
    <t>yi</t>
  </si>
  <si>
    <t>xi^2</t>
  </si>
  <si>
    <t>yi^2</t>
  </si>
  <si>
    <t>xiyi</t>
  </si>
  <si>
    <t>yi^</t>
  </si>
  <si>
    <t>ei</t>
  </si>
  <si>
    <t>ei^2</t>
  </si>
  <si>
    <t>Сумма</t>
  </si>
  <si>
    <t>Среднее</t>
  </si>
  <si>
    <t>r=</t>
  </si>
  <si>
    <t>&gt;</t>
  </si>
  <si>
    <t>tнабл=</t>
  </si>
  <si>
    <t>tкр(0,05; 12)=</t>
  </si>
  <si>
    <t>&lt;=E(Z)&lt;=</t>
  </si>
  <si>
    <t>&lt;=rxy&lt;=</t>
  </si>
  <si>
    <t>b1=</t>
  </si>
  <si>
    <t>b0=</t>
  </si>
  <si>
    <t>Э=</t>
  </si>
  <si>
    <t>R^2=</t>
  </si>
  <si>
    <t>F =</t>
  </si>
  <si>
    <t>Fкр =</t>
  </si>
  <si>
    <t>Fфакт=</t>
  </si>
  <si>
    <t xml:space="preserve">s^2 e = </t>
  </si>
  <si>
    <t>s_b1=</t>
  </si>
  <si>
    <t>t наб =</t>
  </si>
  <si>
    <t>s_b0=</t>
  </si>
  <si>
    <t>t крит =</t>
  </si>
  <si>
    <t>A=</t>
  </si>
  <si>
    <t>&lt; b1 &lt;</t>
  </si>
  <si>
    <t>sy</t>
  </si>
  <si>
    <t>ymax</t>
  </si>
  <si>
    <t>ymin</t>
  </si>
  <si>
    <t>xp=</t>
  </si>
  <si>
    <t>yp=</t>
  </si>
  <si>
    <t>Sy=</t>
  </si>
  <si>
    <t>y min =</t>
  </si>
  <si>
    <t>y max =</t>
  </si>
  <si>
    <t>Zi</t>
  </si>
  <si>
    <t>Yi'</t>
  </si>
  <si>
    <t>Z^2 i</t>
  </si>
  <si>
    <t>Y^2 i</t>
  </si>
  <si>
    <t>Zi*Yi</t>
  </si>
  <si>
    <t>ŷi</t>
  </si>
  <si>
    <t>e^2i</t>
  </si>
  <si>
    <t>β₀'=</t>
  </si>
  <si>
    <t>β₀=</t>
  </si>
  <si>
    <t>β₁=</t>
  </si>
  <si>
    <t>p_xy=</t>
  </si>
  <si>
    <t>F набл =</t>
  </si>
  <si>
    <t>F кр =</t>
  </si>
  <si>
    <t>ln xi</t>
  </si>
  <si>
    <t>ln yi</t>
  </si>
  <si>
    <t>A1</t>
  </si>
  <si>
    <t>A2</t>
  </si>
  <si>
    <t>A3</t>
  </si>
  <si>
    <t>A4</t>
  </si>
  <si>
    <t>Модель</t>
  </si>
  <si>
    <t>оценки модели</t>
  </si>
  <si>
    <t>y=a+b*x</t>
  </si>
  <si>
    <t>y=-0,15+0,075*x</t>
  </si>
  <si>
    <t>0,961</t>
  </si>
  <si>
    <t>4,07</t>
  </si>
  <si>
    <t>y=a+b*lnx</t>
  </si>
  <si>
    <t>y=-17,6+5,4*lnx</t>
  </si>
  <si>
    <t>0,933</t>
  </si>
  <si>
    <t>5,49</t>
  </si>
  <si>
    <t>y=a+b*√x</t>
  </si>
  <si>
    <t>y=-5,5+1,29*√x</t>
  </si>
  <si>
    <t>0,949</t>
  </si>
  <si>
    <t>4,70</t>
  </si>
  <si>
    <t>y=a*x^b</t>
  </si>
  <si>
    <t>y=e^(-2,59)*x^(0,995)=0,07*x^(0,995)</t>
  </si>
  <si>
    <t>0,962</t>
  </si>
  <si>
    <t>3,92</t>
  </si>
  <si>
    <t>корень xi</t>
  </si>
  <si>
    <t>N значений выборки</t>
  </si>
  <si>
    <t>масштаб. Множ. = exp(2,43)=</t>
  </si>
  <si>
    <t xml:space="preserve">сумма квадратов отклонений </t>
  </si>
  <si>
    <t>сумма квадратов регрессии логарифма</t>
  </si>
  <si>
    <t>среднее ln y</t>
  </si>
  <si>
    <t>тестовая статистика</t>
  </si>
  <si>
    <t>Критическое значение χ2</t>
  </si>
  <si>
    <t>Средняя ошибка аппроксимации, %</t>
  </si>
  <si>
    <t>Индекс детерминации, R^2</t>
  </si>
  <si>
    <t>ei/yi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</si>
  <si>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</si>
  <si>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</si>
  <si>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</si>
  <si>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</si>
  <si>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</si>
  <si>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</si>
  <si>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</si>
  <si>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</si>
  <si>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</si>
  <si>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</si>
  <si>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</si>
  <si>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</si>
  <si>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</si>
  <si>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</si>
  <si>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</si>
  <si>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</si>
  <si>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</si>
  <si>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</si>
  <si>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</si>
  <si>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</si>
  <si>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</si>
  <si>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</si>
  <si>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</si>
  <si>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</si>
  <si>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Переменная X 1</t>
  </si>
  <si>
    <t>Нижние 95.0%</t>
  </si>
  <si>
    <t>Верхние 95.0%</t>
  </si>
  <si>
    <t>сумма</t>
  </si>
  <si>
    <t>среднее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</si>
</sst>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2"/>
      <color rgb="FF1D1D1F"/>
      <name val="Calibri"/>
      <family val="2"/>
      <charset val="204"/>
      <scheme val="minor"/>
    </font>
    <font>
      <sz val="12"/>
      <color rgb="FF1D1D1F"/>
      <name val="Arial"/>
      <family val="2"/>
      <charset val="204"/>
    </font>
    <font>
      <sz val="10"/>
      <color rgb="FF1D1D1F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1">
    <xf numFmtId="0" fontId="0" fillId="0" borderId="0" xfId="0"/>
    <xf numFmtId="2" fontId="3" fillId="0" borderId="1" xfId="0" applyNumberFormat="1" applyFont="1" applyBorder="1"/>
    <xf numFmtId="2" fontId="3" fillId="0" borderId="3" xfId="0" applyNumberFormat="1" applyFont="1" applyBorder="1"/>
    <xf numFmtId="164" fontId="3" fillId="0" borderId="1" xfId="0" applyNumberFormat="1" applyFont="1" applyBorder="1"/>
    <xf numFmtId="164" fontId="3" fillId="0" borderId="3" xfId="0" applyNumberFormat="1" applyFont="1" applyBorder="1"/>
    <xf numFmtId="164" fontId="3" fillId="0" borderId="2" xfId="0" applyNumberFormat="1" applyFont="1" applyBorder="1"/>
    <xf numFmtId="2" fontId="3" fillId="0" borderId="2" xfId="0" applyNumberFormat="1" applyFont="1" applyBorder="1"/>
    <xf numFmtId="165" fontId="3" fillId="0" borderId="2" xfId="0" applyNumberFormat="1" applyFont="1" applyBorder="1"/>
    <xf numFmtId="1" fontId="3" fillId="0" borderId="2" xfId="0" applyNumberFormat="1" applyFont="1" applyBorder="1"/>
    <xf numFmtId="2" fontId="3" fillId="0" borderId="5" xfId="0" applyNumberFormat="1" applyFont="1" applyFill="1" applyBorder="1"/>
    <xf numFmtId="9" fontId="3" fillId="2" borderId="7" xfId="1" applyFont="1" applyFill="1" applyBorder="1"/>
    <xf numFmtId="164" fontId="3" fillId="2" borderId="1" xfId="0" applyNumberFormat="1" applyFont="1" applyFill="1" applyBorder="1"/>
    <xf numFmtId="164" fontId="3" fillId="2" borderId="3" xfId="0" applyNumberFormat="1" applyFont="1" applyFill="1" applyBorder="1"/>
    <xf numFmtId="0" fontId="0" fillId="0" borderId="0" xfId="0" applyFill="1" applyBorder="1" applyAlignment="1"/>
    <xf numFmtId="0" fontId="0" fillId="0" borderId="10" xfId="0" applyFill="1" applyBorder="1" applyAlignment="1"/>
    <xf numFmtId="0" fontId="4" fillId="0" borderId="11" xfId="0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Continuous"/>
    </xf>
    <xf numFmtId="0" fontId="0" fillId="0" borderId="0" xfId="0" applyFont="1"/>
    <xf numFmtId="0" fontId="5" fillId="0" borderId="1" xfId="0" applyFont="1" applyBorder="1"/>
    <xf numFmtId="0" fontId="1" fillId="0" borderId="0" xfId="0" applyFont="1"/>
    <xf numFmtId="0" fontId="5" fillId="0" borderId="4" xfId="0" applyFont="1" applyFill="1" applyBorder="1"/>
    <xf numFmtId="0" fontId="5" fillId="2" borderId="2" xfId="0" applyFont="1" applyFill="1" applyBorder="1" applyAlignment="1">
      <alignment horizontal="center"/>
    </xf>
    <xf numFmtId="0" fontId="5" fillId="2" borderId="6" xfId="0" applyFont="1" applyFill="1" applyBorder="1"/>
    <xf numFmtId="0" fontId="1" fillId="0" borderId="0" xfId="0" applyFont="1" applyAlignment="1">
      <alignment horizontal="center"/>
    </xf>
    <xf numFmtId="0" fontId="5" fillId="0" borderId="1" xfId="0" applyFont="1" applyFill="1" applyBorder="1"/>
    <xf numFmtId="0" fontId="1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1" fillId="0" borderId="2" xfId="0" applyFont="1" applyBorder="1"/>
    <xf numFmtId="0" fontId="0" fillId="0" borderId="2" xfId="0" applyFont="1" applyBorder="1"/>
    <xf numFmtId="0" fontId="1" fillId="0" borderId="2" xfId="0" applyFont="1" applyBorder="1" applyAlignment="1">
      <alignment horizontal="right"/>
    </xf>
    <xf numFmtId="164" fontId="0" fillId="0" borderId="2" xfId="0" applyNumberFormat="1" applyFont="1" applyBorder="1"/>
    <xf numFmtId="165" fontId="0" fillId="0" borderId="2" xfId="0" applyNumberFormat="1" applyFont="1" applyBorder="1"/>
    <xf numFmtId="9" fontId="2" fillId="0" borderId="2" xfId="1" applyNumberFormat="1" applyFont="1" applyBorder="1"/>
    <xf numFmtId="2" fontId="0" fillId="0" borderId="2" xfId="0" applyNumberFormat="1" applyFont="1" applyBorder="1"/>
    <xf numFmtId="1" fontId="0" fillId="0" borderId="2" xfId="0" applyNumberFormat="1" applyFont="1" applyBorder="1"/>
    <xf numFmtId="0" fontId="1" fillId="0" borderId="0" xfId="0" applyFont="1" applyFill="1" applyBorder="1"/>
    <xf numFmtId="0" fontId="1" fillId="0" borderId="2" xfId="0" applyFont="1" applyBorder="1" applyAlignment="1">
      <alignment horizontal="center"/>
    </xf>
    <xf numFmtId="1" fontId="0" fillId="0" borderId="2" xfId="0" applyNumberFormat="1" applyFont="1" applyBorder="1" applyAlignment="1">
      <alignment horizontal="center"/>
    </xf>
    <xf numFmtId="2" fontId="0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2" fontId="0" fillId="0" borderId="2" xfId="0" applyNumberFormat="1" applyFont="1" applyBorder="1" applyAlignment="1">
      <alignment horizontal="left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1" fillId="0" borderId="2" xfId="0" applyFont="1" applyFill="1" applyBorder="1"/>
    <xf numFmtId="2" fontId="0" fillId="0" borderId="2" xfId="0" applyNumberFormat="1" applyFont="1" applyFill="1" applyBorder="1"/>
    <xf numFmtId="1" fontId="0" fillId="0" borderId="2" xfId="0" applyNumberFormat="1" applyFont="1" applyFill="1" applyBorder="1"/>
    <xf numFmtId="0" fontId="3" fillId="0" borderId="2" xfId="0" applyFont="1" applyBorder="1" applyAlignment="1">
      <alignment horizontal="right"/>
    </xf>
    <xf numFmtId="0" fontId="7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vertical="center"/>
    </xf>
    <xf numFmtId="0" fontId="0" fillId="0" borderId="0" xfId="0" applyFont="1" applyAlignment="1"/>
    <xf numFmtId="0" fontId="0" fillId="0" borderId="2" xfId="0" applyFont="1" applyBorder="1" applyAlignment="1">
      <alignment horizontal="right"/>
    </xf>
    <xf numFmtId="0" fontId="8" fillId="0" borderId="2" xfId="0" applyFont="1" applyBorder="1" applyAlignment="1">
      <alignment horizontal="right"/>
    </xf>
    <xf numFmtId="0" fontId="1" fillId="0" borderId="2" xfId="0" applyFont="1" applyFill="1" applyBorder="1" applyAlignment="1">
      <alignment horizontal="right"/>
    </xf>
    <xf numFmtId="2" fontId="1" fillId="0" borderId="2" xfId="0" applyNumberFormat="1" applyFont="1" applyFill="1" applyBorder="1"/>
    <xf numFmtId="0" fontId="1" fillId="0" borderId="0" xfId="0" applyFont="1" applyFill="1" applyBorder="1" applyAlignment="1"/>
    <xf numFmtId="0" fontId="9" fillId="0" borderId="0" xfId="0" applyFont="1" applyFill="1" applyBorder="1" applyAlignment="1">
      <alignment horizontal="center"/>
    </xf>
    <xf numFmtId="10" fontId="1" fillId="0" borderId="2" xfId="1" applyNumberFormat="1" applyFont="1" applyFill="1" applyBorder="1"/>
    <xf numFmtId="10" fontId="1" fillId="0" borderId="0" xfId="1" applyNumberFormat="1" applyFont="1"/>
    <xf numFmtId="0" fontId="1" fillId="0" borderId="0" xfId="0" applyFont="1" applyBorder="1"/>
    <xf numFmtId="10" fontId="1" fillId="0" borderId="0" xfId="1" applyNumberFormat="1" applyFont="1" applyBorder="1"/>
    <xf numFmtId="0" fontId="10" fillId="0" borderId="0" xfId="0" applyFont="1" applyFill="1" applyBorder="1" applyAlignment="1"/>
    <xf numFmtId="0" fontId="9" fillId="0" borderId="0" xfId="0" applyFont="1" applyFill="1" applyBorder="1" applyAlignment="1">
      <alignment horizontal="centerContinuous"/>
    </xf>
    <xf numFmtId="2" fontId="1" fillId="0" borderId="0" xfId="0" applyNumberFormat="1" applyFont="1" applyFill="1" applyBorder="1"/>
    <xf numFmtId="0" fontId="1" fillId="0" borderId="0" xfId="0" applyFont="1" applyFill="1"/>
    <xf numFmtId="0" fontId="1" fillId="0" borderId="2" xfId="0" applyFont="1" applyFill="1" applyBorder="1" applyAlignment="1">
      <alignment horizontal="center" vertical="center"/>
    </xf>
    <xf numFmtId="2" fontId="1" fillId="0" borderId="2" xfId="0" applyNumberFormat="1" applyFont="1" applyFill="1" applyBorder="1" applyAlignment="1">
      <alignment horizontal="center" vertical="center"/>
    </xf>
    <xf numFmtId="2" fontId="1" fillId="0" borderId="2" xfId="0" applyNumberFormat="1" applyFont="1" applyFill="1" applyBorder="1" applyAlignment="1">
      <alignment horizontal="center" vertical="center" wrapText="1"/>
    </xf>
    <xf numFmtId="2" fontId="1" fillId="0" borderId="2" xfId="0" applyNumberFormat="1" applyFont="1" applyFill="1" applyBorder="1" applyAlignment="1"/>
    <xf numFmtId="2" fontId="1" fillId="0" borderId="2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/>
      <c:scatterChart>
        <c:scatterStyle val="lineMarker"/>
        <c:ser>
          <c:idx val="0"/>
          <c:order val="0"/>
          <c:tx>
            <c:strRef>
              <c:f>'Пример 3.1'!$L$24</c:f>
              <c:strCache>
                <c:ptCount val="1"/>
                <c:pt idx="0">
                  <c:v>ymin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'Пример 3.1'!$H$25:$H$38</c:f>
              <c:numCache>
                <c:formatCode>0</c:formatCode>
                <c:ptCount val="14"/>
                <c:pt idx="0">
                  <c:v>39.200000000000003</c:v>
                </c:pt>
                <c:pt idx="1">
                  <c:v>42.8</c:v>
                </c:pt>
                <c:pt idx="2">
                  <c:v>43.6</c:v>
                </c:pt>
                <c:pt idx="3">
                  <c:v>44</c:v>
                </c:pt>
                <c:pt idx="4">
                  <c:v>45.2</c:v>
                </c:pt>
                <c:pt idx="5">
                  <c:v>48</c:v>
                </c:pt>
                <c:pt idx="6">
                  <c:v>48.8</c:v>
                </c:pt>
                <c:pt idx="7">
                  <c:v>49.2</c:v>
                </c:pt>
                <c:pt idx="8">
                  <c:v>50</c:v>
                </c:pt>
                <c:pt idx="9">
                  <c:v>51.2</c:v>
                </c:pt>
                <c:pt idx="10">
                  <c:v>54.4</c:v>
                </c:pt>
                <c:pt idx="11">
                  <c:v>56</c:v>
                </c:pt>
                <c:pt idx="12">
                  <c:v>58</c:v>
                </c:pt>
                <c:pt idx="13">
                  <c:v>60</c:v>
                </c:pt>
              </c:numCache>
            </c:numRef>
          </c:xVal>
          <c:yVal>
            <c:numRef>
              <c:f>'Пример 3.1'!$L$25:$L$38</c:f>
              <c:numCache>
                <c:formatCode>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0-0F57-41A6-9216-A8F37AB73866}"/>
            </c:ext>
          </c:extLst>
        </c:ser>
        <c:ser>
          <c:idx val="1"/>
          <c:order val="1"/>
          <c:tx>
            <c:strRef>
              <c:f>'Пример 3.1'!$M$24</c:f>
              <c:strCache>
                <c:ptCount val="1"/>
                <c:pt idx="0">
                  <c:v>ymax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'Пример 3.1'!$H$25:$H$38</c:f>
              <c:numCache>
                <c:formatCode>0</c:formatCode>
                <c:ptCount val="14"/>
                <c:pt idx="0">
                  <c:v>39.200000000000003</c:v>
                </c:pt>
                <c:pt idx="1">
                  <c:v>42.8</c:v>
                </c:pt>
                <c:pt idx="2">
                  <c:v>43.6</c:v>
                </c:pt>
                <c:pt idx="3">
                  <c:v>44</c:v>
                </c:pt>
                <c:pt idx="4">
                  <c:v>45.2</c:v>
                </c:pt>
                <c:pt idx="5">
                  <c:v>48</c:v>
                </c:pt>
                <c:pt idx="6">
                  <c:v>48.8</c:v>
                </c:pt>
                <c:pt idx="7">
                  <c:v>49.2</c:v>
                </c:pt>
                <c:pt idx="8">
                  <c:v>50</c:v>
                </c:pt>
                <c:pt idx="9">
                  <c:v>51.2</c:v>
                </c:pt>
                <c:pt idx="10">
                  <c:v>54.4</c:v>
                </c:pt>
                <c:pt idx="11">
                  <c:v>56</c:v>
                </c:pt>
                <c:pt idx="12">
                  <c:v>58</c:v>
                </c:pt>
                <c:pt idx="13">
                  <c:v>60</c:v>
                </c:pt>
              </c:numCache>
            </c:numRef>
          </c:xVal>
          <c:yVal>
            <c:numRef>
              <c:f>'Пример 3.1'!$M$25:$M$38</c:f>
              <c:numCache>
                <c:formatCode>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1-0F57-41A6-9216-A8F37AB73866}"/>
            </c:ext>
          </c:extLst>
        </c:ser>
        <c:ser>
          <c:idx val="2"/>
          <c:order val="2"/>
          <c:tx>
            <c:strRef>
              <c:f>'Пример 3.1'!$I$24</c:f>
              <c:strCache>
                <c:ptCount val="1"/>
                <c:pt idx="0">
                  <c:v>yi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'Пример 3.1'!$H$25:$H$38</c:f>
              <c:numCache>
                <c:formatCode>0</c:formatCode>
                <c:ptCount val="14"/>
                <c:pt idx="0">
                  <c:v>39.200000000000003</c:v>
                </c:pt>
                <c:pt idx="1">
                  <c:v>42.8</c:v>
                </c:pt>
                <c:pt idx="2">
                  <c:v>43.6</c:v>
                </c:pt>
                <c:pt idx="3">
                  <c:v>44</c:v>
                </c:pt>
                <c:pt idx="4">
                  <c:v>45.2</c:v>
                </c:pt>
                <c:pt idx="5">
                  <c:v>48</c:v>
                </c:pt>
                <c:pt idx="6">
                  <c:v>48.8</c:v>
                </c:pt>
                <c:pt idx="7">
                  <c:v>49.2</c:v>
                </c:pt>
                <c:pt idx="8">
                  <c:v>50</c:v>
                </c:pt>
                <c:pt idx="9">
                  <c:v>51.2</c:v>
                </c:pt>
                <c:pt idx="10">
                  <c:v>54.4</c:v>
                </c:pt>
                <c:pt idx="11">
                  <c:v>56</c:v>
                </c:pt>
                <c:pt idx="12">
                  <c:v>58</c:v>
                </c:pt>
                <c:pt idx="13">
                  <c:v>60</c:v>
                </c:pt>
              </c:numCache>
            </c:numRef>
          </c:xVal>
          <c:yVal>
            <c:numRef>
              <c:f>'Пример 3.1'!$I$25:$I$38</c:f>
              <c:numCache>
                <c:formatCode>0</c:formatCode>
                <c:ptCount val="14"/>
                <c:pt idx="0">
                  <c:v>32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36.700000000000003</c:v>
                </c:pt>
                <c:pt idx="5">
                  <c:v>38.299999999999997</c:v>
                </c:pt>
                <c:pt idx="6">
                  <c:v>39</c:v>
                </c:pt>
                <c:pt idx="7">
                  <c:v>39.700000000000003</c:v>
                </c:pt>
                <c:pt idx="8">
                  <c:v>40.299999999999997</c:v>
                </c:pt>
                <c:pt idx="9">
                  <c:v>41.7</c:v>
                </c:pt>
                <c:pt idx="10">
                  <c:v>44</c:v>
                </c:pt>
                <c:pt idx="11">
                  <c:v>43.3</c:v>
                </c:pt>
                <c:pt idx="12">
                  <c:v>47</c:v>
                </c:pt>
                <c:pt idx="13">
                  <c:v>48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2-0F57-41A6-9216-A8F37AB73866}"/>
            </c:ext>
          </c:extLst>
        </c:ser>
        <c:ser>
          <c:idx val="3"/>
          <c:order val="3"/>
          <c:tx>
            <c:strRef>
              <c:f>'Пример 3.1'!$J$24</c:f>
              <c:strCache>
                <c:ptCount val="1"/>
                <c:pt idx="0">
                  <c:v>yi^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'Пример 3.1'!$H$25:$H$38</c:f>
              <c:numCache>
                <c:formatCode>0</c:formatCode>
                <c:ptCount val="14"/>
                <c:pt idx="0">
                  <c:v>39.200000000000003</c:v>
                </c:pt>
                <c:pt idx="1">
                  <c:v>42.8</c:v>
                </c:pt>
                <c:pt idx="2">
                  <c:v>43.6</c:v>
                </c:pt>
                <c:pt idx="3">
                  <c:v>44</c:v>
                </c:pt>
                <c:pt idx="4">
                  <c:v>45.2</c:v>
                </c:pt>
                <c:pt idx="5">
                  <c:v>48</c:v>
                </c:pt>
                <c:pt idx="6">
                  <c:v>48.8</c:v>
                </c:pt>
                <c:pt idx="7">
                  <c:v>49.2</c:v>
                </c:pt>
                <c:pt idx="8">
                  <c:v>50</c:v>
                </c:pt>
                <c:pt idx="9">
                  <c:v>51.2</c:v>
                </c:pt>
                <c:pt idx="10">
                  <c:v>54.4</c:v>
                </c:pt>
                <c:pt idx="11">
                  <c:v>56</c:v>
                </c:pt>
                <c:pt idx="12">
                  <c:v>58</c:v>
                </c:pt>
                <c:pt idx="13">
                  <c:v>60</c:v>
                </c:pt>
              </c:numCache>
            </c:numRef>
          </c:xVal>
          <c:yVal>
            <c:numRef>
              <c:f>'Пример 3.1'!$J$25:$J$38</c:f>
              <c:numCache>
                <c:formatCode>0.00</c:formatCode>
                <c:ptCount val="14"/>
                <c:pt idx="0">
                  <c:v>31.81485690235689</c:v>
                </c:pt>
                <c:pt idx="1">
                  <c:v>34.601094276094265</c:v>
                </c:pt>
                <c:pt idx="2">
                  <c:v>35.220258136924798</c:v>
                </c:pt>
                <c:pt idx="3">
                  <c:v>35.529840067340061</c:v>
                </c:pt>
                <c:pt idx="4">
                  <c:v>36.458585858585856</c:v>
                </c:pt>
                <c:pt idx="5">
                  <c:v>38.625659371492702</c:v>
                </c:pt>
                <c:pt idx="6">
                  <c:v>39.244823232323228</c:v>
                </c:pt>
                <c:pt idx="7">
                  <c:v>39.554405162738497</c:v>
                </c:pt>
                <c:pt idx="8">
                  <c:v>40.173569023569023</c:v>
                </c:pt>
                <c:pt idx="9">
                  <c:v>41.102314814814818</c:v>
                </c:pt>
                <c:pt idx="10">
                  <c:v>43.578970258136927</c:v>
                </c:pt>
                <c:pt idx="11">
                  <c:v>44.817297979797985</c:v>
                </c:pt>
                <c:pt idx="12">
                  <c:v>46.365207631874306</c:v>
                </c:pt>
                <c:pt idx="13">
                  <c:v>47.913117283950626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3-0F57-41A6-9216-A8F37AB73866}"/>
            </c:ext>
          </c:extLst>
        </c:ser>
        <c:ser>
          <c:idx val="4"/>
          <c:order val="4"/>
          <c:tx>
            <c:v>прогн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'Пример 3.1'!$I$40</c:f>
              <c:numCache>
                <c:formatCode>General</c:formatCode>
                <c:ptCount val="1"/>
                <c:pt idx="0">
                  <c:v>52.5</c:v>
                </c:pt>
              </c:numCache>
            </c:numRef>
          </c:xVal>
          <c:yVal>
            <c:numRef>
              <c:f>'Пример 3.1'!$I$41</c:f>
              <c:numCache>
                <c:formatCode>0.0</c:formatCode>
                <c:ptCount val="1"/>
                <c:pt idx="0">
                  <c:v>42.108456088664425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4-0F57-41A6-9216-A8F37AB73866}"/>
            </c:ext>
          </c:extLst>
        </c:ser>
        <c:ser>
          <c:idx val="5"/>
          <c:order val="5"/>
          <c:tx>
            <c:v>ymin прогн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'Пример 3.1'!$I$40</c:f>
              <c:numCache>
                <c:formatCode>General</c:formatCode>
                <c:ptCount val="1"/>
                <c:pt idx="0">
                  <c:v>52.5</c:v>
                </c:pt>
              </c:numCache>
            </c:numRef>
          </c:xVal>
          <c:yVal>
            <c:numRef>
              <c:f>'Пример 3.1'!$I$44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5-0F57-41A6-9216-A8F37AB73866}"/>
            </c:ext>
          </c:extLst>
        </c:ser>
        <c:ser>
          <c:idx val="6"/>
          <c:order val="6"/>
          <c:tx>
            <c:v>ymax прогн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'Пример 3.1'!$I$40</c:f>
              <c:numCache>
                <c:formatCode>General</c:formatCode>
                <c:ptCount val="1"/>
                <c:pt idx="0">
                  <c:v>52.5</c:v>
                </c:pt>
              </c:numCache>
            </c:numRef>
          </c:xVal>
          <c:yVal>
            <c:numRef>
              <c:f>'Пример 3.1'!$I$45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6-0F57-41A6-9216-A8F37AB73866}"/>
            </c:ext>
          </c:extLst>
        </c:ser>
        <c:dLbls/>
        <c:axId val="125044992"/>
        <c:axId val="125046144"/>
      </c:scatterChart>
      <c:valAx>
        <c:axId val="125044992"/>
        <c:scaling>
          <c:orientation val="minMax"/>
          <c:min val="35"/>
        </c:scaling>
        <c:axPos val="b"/>
        <c:numFmt formatCode="0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046144"/>
        <c:crosses val="autoZero"/>
        <c:crossBetween val="midCat"/>
      </c:valAx>
      <c:valAx>
        <c:axId val="125046144"/>
        <c:scaling>
          <c:orientation val="minMax"/>
          <c:min val="30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044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457200</xdr:colOff>
      <xdr:row>15</xdr:row>
      <xdr:rowOff>194310</xdr:rowOff>
    </xdr:from>
    <xdr:to>
      <xdr:col>24</xdr:col>
      <xdr:colOff>74295</xdr:colOff>
      <xdr:row>39</xdr:row>
      <xdr:rowOff>62864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xmlns="" id="{F1610E05-622C-4445-83A6-B358563E9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8"/>
  <sheetViews>
    <sheetView topLeftCell="F25" workbookViewId="0">
      <selection activeCell="D33" sqref="D33"/>
    </sheetView>
  </sheetViews>
  <sheetFormatPr defaultRowHeight="14.4"/>
  <cols>
    <col min="1" max="1" width="8.44140625" style="17" bestFit="1" customWidth="1"/>
    <col min="2" max="2" width="8.6640625" style="17" bestFit="1" customWidth="1"/>
    <col min="3" max="3" width="7.6640625" style="17" bestFit="1" customWidth="1"/>
    <col min="4" max="4" width="6" style="17" bestFit="1" customWidth="1"/>
    <col min="5" max="5" width="10.88671875" style="17" customWidth="1"/>
    <col min="6" max="6" width="10.44140625" style="17" customWidth="1"/>
    <col min="7" max="8" width="8.88671875" style="17"/>
    <col min="9" max="9" width="9.5546875" style="17" bestFit="1" customWidth="1"/>
    <col min="10" max="16384" width="8.88671875" style="17"/>
  </cols>
  <sheetData>
    <row r="1" spans="1:17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86</v>
      </c>
    </row>
    <row r="2" spans="1:17">
      <c r="A2" s="37">
        <v>1</v>
      </c>
      <c r="B2" s="38">
        <v>42.8</v>
      </c>
      <c r="C2" s="38">
        <v>34</v>
      </c>
      <c r="D2" s="38">
        <f>B2^2</f>
        <v>1831.8399999999997</v>
      </c>
      <c r="E2" s="38">
        <f>C2^2</f>
        <v>1156</v>
      </c>
      <c r="F2" s="38">
        <f>B2*C2</f>
        <v>1455.1999999999998</v>
      </c>
      <c r="G2" s="39">
        <f>$C$17-(($F$17-$B$17*$C$17)/($D$17-$B$17*$B$17))*$B$17+(($F$17-$B$17*$C$17)/($D$17-$B$17*$B$17))*B2</f>
        <v>34.601094276094265</v>
      </c>
      <c r="H2" s="39">
        <f>C2-G2</f>
        <v>-0.60109427609426547</v>
      </c>
      <c r="I2" s="39">
        <f>H2^2</f>
        <v>0.36131432875328906</v>
      </c>
      <c r="J2" s="34">
        <f>ABS(H2/C2)</f>
        <v>1.7679243414537221E-2</v>
      </c>
      <c r="L2" s="30" t="s">
        <v>11</v>
      </c>
      <c r="M2" s="34">
        <f>(F17-B17*C17)/SQRT((D17-B17^2)*(E17-C17^2))</f>
        <v>0.99294743460889534</v>
      </c>
    </row>
    <row r="3" spans="1:17">
      <c r="A3" s="37">
        <v>2</v>
      </c>
      <c r="B3" s="38">
        <v>43.6</v>
      </c>
      <c r="C3" s="38">
        <v>35</v>
      </c>
      <c r="D3" s="38">
        <f t="shared" ref="D3:D15" si="0">B3^2</f>
        <v>1900.96</v>
      </c>
      <c r="E3" s="38">
        <f t="shared" ref="E3:E15" si="1">C3^2</f>
        <v>1225</v>
      </c>
      <c r="F3" s="38">
        <f t="shared" ref="F3:F15" si="2">B3*C3</f>
        <v>1526</v>
      </c>
      <c r="G3" s="39">
        <f t="shared" ref="G3:G15" si="3">$C$17-(($F$17-$B$17*$C$17)/($D$17-$B$17*$B$17))*$B$17+(($F$17-$B$17*$C$17)/($D$17-$B$17*$B$17))*B3</f>
        <v>35.220258136924798</v>
      </c>
      <c r="H3" s="39">
        <f t="shared" ref="H3:H15" si="4">C3-G3</f>
        <v>-0.22025813692479801</v>
      </c>
      <c r="I3" s="39">
        <f t="shared" ref="I3:I15" si="5">H3^2</f>
        <v>4.8513646881583071E-2</v>
      </c>
      <c r="J3" s="34">
        <f t="shared" ref="J3:J14" si="6">ABS(H3/C3)</f>
        <v>6.2930896264227999E-3</v>
      </c>
    </row>
    <row r="4" spans="1:17">
      <c r="A4" s="37">
        <v>3</v>
      </c>
      <c r="B4" s="38">
        <v>44</v>
      </c>
      <c r="C4" s="38">
        <v>36</v>
      </c>
      <c r="D4" s="38">
        <f t="shared" si="0"/>
        <v>1936</v>
      </c>
      <c r="E4" s="38">
        <f t="shared" si="1"/>
        <v>1296</v>
      </c>
      <c r="F4" s="38">
        <f t="shared" si="2"/>
        <v>1584</v>
      </c>
      <c r="G4" s="39">
        <f t="shared" si="3"/>
        <v>35.529840067340061</v>
      </c>
      <c r="H4" s="39">
        <f t="shared" si="4"/>
        <v>0.47015993265993927</v>
      </c>
      <c r="I4" s="39">
        <f t="shared" si="5"/>
        <v>0.22105036227879862</v>
      </c>
      <c r="J4" s="34">
        <f t="shared" si="6"/>
        <v>1.3059998129442758E-2</v>
      </c>
      <c r="L4" s="30" t="s">
        <v>13</v>
      </c>
      <c r="M4" s="35">
        <f>SQRT(A15-2)*M2/SQRT(1-(M2^2))</f>
        <v>29.013184401858251</v>
      </c>
      <c r="N4" s="37" t="s">
        <v>12</v>
      </c>
      <c r="O4" s="40" t="s">
        <v>14</v>
      </c>
      <c r="P4" s="40"/>
      <c r="Q4" s="41" t="e">
        <f ca="1">_xlfn.T.INV.2T(0.05, 12)</f>
        <v>#NAME?</v>
      </c>
    </row>
    <row r="5" spans="1:17">
      <c r="A5" s="37">
        <v>4</v>
      </c>
      <c r="B5" s="38">
        <v>45.2</v>
      </c>
      <c r="C5" s="38">
        <v>36.700000000000003</v>
      </c>
      <c r="D5" s="38">
        <f t="shared" si="0"/>
        <v>2043.0400000000002</v>
      </c>
      <c r="E5" s="38">
        <f t="shared" si="1"/>
        <v>1346.89</v>
      </c>
      <c r="F5" s="38">
        <f t="shared" si="2"/>
        <v>1658.8400000000001</v>
      </c>
      <c r="G5" s="39">
        <f t="shared" si="3"/>
        <v>36.458585858585856</v>
      </c>
      <c r="H5" s="39">
        <f t="shared" si="4"/>
        <v>0.24141414141414685</v>
      </c>
      <c r="I5" s="39">
        <f t="shared" si="5"/>
        <v>5.8280787674729696E-2</v>
      </c>
      <c r="J5" s="34">
        <f t="shared" si="6"/>
        <v>6.5780420003854721E-3</v>
      </c>
    </row>
    <row r="6" spans="1:17" ht="15.6">
      <c r="A6" s="37">
        <v>5</v>
      </c>
      <c r="B6" s="38">
        <v>48</v>
      </c>
      <c r="C6" s="38">
        <v>38.299999999999997</v>
      </c>
      <c r="D6" s="38">
        <f t="shared" si="0"/>
        <v>2304</v>
      </c>
      <c r="E6" s="38">
        <f t="shared" si="1"/>
        <v>1466.8899999999999</v>
      </c>
      <c r="F6" s="38">
        <f t="shared" si="2"/>
        <v>1838.3999999999999</v>
      </c>
      <c r="G6" s="39">
        <f t="shared" si="3"/>
        <v>38.625659371492702</v>
      </c>
      <c r="H6" s="39">
        <f t="shared" si="4"/>
        <v>-0.32565937149270496</v>
      </c>
      <c r="I6" s="39">
        <f t="shared" si="5"/>
        <v>0.10605402624102361</v>
      </c>
      <c r="J6" s="34">
        <f t="shared" si="6"/>
        <v>8.5028556525510446E-3</v>
      </c>
      <c r="L6" s="18" t="s">
        <v>19</v>
      </c>
      <c r="M6" s="6">
        <f>M10*B17/C17</f>
        <v>0.96277191332747036</v>
      </c>
      <c r="O6" s="1" t="e">
        <f ca="1">0.5*LN((1+M2)/(1-M2))-_xlfn.NORM.S.INV(1-0.05/2)*(1/SQRT(14-2))</f>
        <v>#NAME?</v>
      </c>
      <c r="P6" s="26" t="s">
        <v>15</v>
      </c>
      <c r="Q6" s="2" t="e">
        <f ca="1">0.5*LN((1+M2)/(1-M2))+_xlfn.NORM.S.INV(1-0.05/2)*(1/SQRT(14-2))</f>
        <v>#NAME?</v>
      </c>
    </row>
    <row r="7" spans="1:17" ht="15.6">
      <c r="A7" s="37">
        <v>6</v>
      </c>
      <c r="B7" s="38">
        <v>48.8</v>
      </c>
      <c r="C7" s="38">
        <v>39</v>
      </c>
      <c r="D7" s="38">
        <f t="shared" si="0"/>
        <v>2381.4399999999996</v>
      </c>
      <c r="E7" s="38">
        <f t="shared" si="1"/>
        <v>1521</v>
      </c>
      <c r="F7" s="38">
        <f t="shared" si="2"/>
        <v>1903.1999999999998</v>
      </c>
      <c r="G7" s="39">
        <f t="shared" si="3"/>
        <v>39.244823232323228</v>
      </c>
      <c r="H7" s="39">
        <f t="shared" si="4"/>
        <v>-0.24482323232322756</v>
      </c>
      <c r="I7" s="39">
        <f t="shared" si="5"/>
        <v>5.9938415085193056E-2</v>
      </c>
      <c r="J7" s="34">
        <f t="shared" si="6"/>
        <v>6.2775187775186555E-3</v>
      </c>
      <c r="L7" s="24" t="s">
        <v>23</v>
      </c>
      <c r="M7" s="7">
        <f>(SUMPRODUCT((G2:G15-C17)^2)/1)/(SUM(I2:I15)/(14-2))</f>
        <v>841.7648691370166</v>
      </c>
      <c r="O7" s="3" t="e">
        <f ca="1">(EXP(2*O6)-1)/(EXP(2*O6)+1)</f>
        <v>#NAME?</v>
      </c>
      <c r="P7" s="26" t="s">
        <v>16</v>
      </c>
      <c r="Q7" s="4" t="e">
        <f ca="1">(EXP(2*Q6)-1)/(EXP(2*Q6)+1)</f>
        <v>#NAME?</v>
      </c>
    </row>
    <row r="8" spans="1:17" ht="15.6">
      <c r="A8" s="37">
        <v>7</v>
      </c>
      <c r="B8" s="38">
        <v>49.2</v>
      </c>
      <c r="C8" s="38">
        <v>39.700000000000003</v>
      </c>
      <c r="D8" s="38">
        <f t="shared" si="0"/>
        <v>2420.6400000000003</v>
      </c>
      <c r="E8" s="38">
        <f t="shared" si="1"/>
        <v>1576.0900000000001</v>
      </c>
      <c r="F8" s="38">
        <f t="shared" si="2"/>
        <v>1953.2400000000002</v>
      </c>
      <c r="G8" s="39">
        <f t="shared" si="3"/>
        <v>39.554405162738497</v>
      </c>
      <c r="H8" s="39">
        <f t="shared" si="4"/>
        <v>0.14559483726150546</v>
      </c>
      <c r="I8" s="39">
        <f t="shared" si="5"/>
        <v>2.1197856637204259E-2</v>
      </c>
      <c r="J8" s="34">
        <f t="shared" si="6"/>
        <v>3.6673762534384243E-3</v>
      </c>
      <c r="L8" s="25" t="s">
        <v>22</v>
      </c>
      <c r="M8" s="6" t="e">
        <f ca="1">_xlfn.F.INV.RT(0.05, 1, 12)</f>
        <v>#NAME?</v>
      </c>
    </row>
    <row r="9" spans="1:17">
      <c r="A9" s="37">
        <v>8</v>
      </c>
      <c r="B9" s="38">
        <v>51.2</v>
      </c>
      <c r="C9" s="38">
        <v>41.7</v>
      </c>
      <c r="D9" s="38">
        <f t="shared" si="0"/>
        <v>2621.4400000000005</v>
      </c>
      <c r="E9" s="38">
        <f t="shared" si="1"/>
        <v>1738.8900000000003</v>
      </c>
      <c r="F9" s="38">
        <f t="shared" si="2"/>
        <v>2135.0400000000004</v>
      </c>
      <c r="G9" s="39">
        <f t="shared" si="3"/>
        <v>41.102314814814818</v>
      </c>
      <c r="H9" s="39">
        <f t="shared" si="4"/>
        <v>0.59768518518518476</v>
      </c>
      <c r="I9" s="39">
        <f t="shared" si="5"/>
        <v>0.3572275805898486</v>
      </c>
      <c r="J9" s="34">
        <f t="shared" si="6"/>
        <v>1.4332978061994838E-2</v>
      </c>
    </row>
    <row r="10" spans="1:17" ht="15.6">
      <c r="A10" s="37">
        <v>9</v>
      </c>
      <c r="B10" s="38">
        <v>54.4</v>
      </c>
      <c r="C10" s="38">
        <v>44</v>
      </c>
      <c r="D10" s="38">
        <f t="shared" si="0"/>
        <v>2959.3599999999997</v>
      </c>
      <c r="E10" s="38">
        <f t="shared" si="1"/>
        <v>1936</v>
      </c>
      <c r="F10" s="38">
        <f t="shared" si="2"/>
        <v>2393.6</v>
      </c>
      <c r="G10" s="39">
        <f t="shared" si="3"/>
        <v>43.578970258136927</v>
      </c>
      <c r="H10" s="39">
        <f t="shared" si="4"/>
        <v>0.42102974186307307</v>
      </c>
      <c r="I10" s="39">
        <f t="shared" si="5"/>
        <v>0.17726604353328596</v>
      </c>
      <c r="J10" s="34">
        <f t="shared" si="6"/>
        <v>9.5688577696152969E-3</v>
      </c>
      <c r="L10" s="27" t="s">
        <v>17</v>
      </c>
      <c r="M10" s="5">
        <f>($F$17-$B$17*$C$17)/($D$17-$B$17^2)</f>
        <v>0.77395482603816046</v>
      </c>
      <c r="O10" s="18" t="s">
        <v>20</v>
      </c>
      <c r="P10" s="5">
        <f>1-SUM(I2:I15)/SUMPRODUCT((C2:C15-C17)^2)</f>
        <v>0.98594460789639937</v>
      </c>
    </row>
    <row r="11" spans="1:17" ht="15.6">
      <c r="A11" s="37">
        <v>10</v>
      </c>
      <c r="B11" s="38">
        <v>56</v>
      </c>
      <c r="C11" s="38">
        <v>43.3</v>
      </c>
      <c r="D11" s="38">
        <f t="shared" si="0"/>
        <v>3136</v>
      </c>
      <c r="E11" s="38">
        <f t="shared" si="1"/>
        <v>1874.8899999999996</v>
      </c>
      <c r="F11" s="38">
        <f t="shared" si="2"/>
        <v>2424.7999999999997</v>
      </c>
      <c r="G11" s="39">
        <f t="shared" si="3"/>
        <v>44.817297979797985</v>
      </c>
      <c r="H11" s="39">
        <f t="shared" si="4"/>
        <v>-1.5172979797979878</v>
      </c>
      <c r="I11" s="39">
        <f t="shared" si="5"/>
        <v>2.3021931594990548</v>
      </c>
      <c r="J11" s="34">
        <f t="shared" si="6"/>
        <v>3.504152378286346E-2</v>
      </c>
      <c r="L11" s="27" t="s">
        <v>18</v>
      </c>
      <c r="M11" s="6">
        <f>$C$17-(($F$17-$B$17*$C$17)/($D$17-$B$17^2))*$B$17</f>
        <v>1.4758277216609983</v>
      </c>
      <c r="O11" s="18" t="s">
        <v>21</v>
      </c>
      <c r="P11" s="7">
        <f>(M2^2/(1-M2^2))*(14-2)</f>
        <v>841.76486913623103</v>
      </c>
    </row>
    <row r="12" spans="1:17">
      <c r="A12" s="37">
        <v>11</v>
      </c>
      <c r="B12" s="38">
        <v>58</v>
      </c>
      <c r="C12" s="38">
        <v>47</v>
      </c>
      <c r="D12" s="38">
        <f t="shared" si="0"/>
        <v>3364</v>
      </c>
      <c r="E12" s="38">
        <f t="shared" si="1"/>
        <v>2209</v>
      </c>
      <c r="F12" s="38">
        <f t="shared" si="2"/>
        <v>2726</v>
      </c>
      <c r="G12" s="39">
        <f t="shared" si="3"/>
        <v>46.365207631874306</v>
      </c>
      <c r="H12" s="39">
        <f t="shared" si="4"/>
        <v>0.6347923681256944</v>
      </c>
      <c r="I12" s="39">
        <f t="shared" si="5"/>
        <v>0.4029613506306271</v>
      </c>
      <c r="J12" s="34">
        <f t="shared" si="6"/>
        <v>1.3506220598419029E-2</v>
      </c>
    </row>
    <row r="13" spans="1:17" ht="15.6">
      <c r="A13" s="37">
        <v>12</v>
      </c>
      <c r="B13" s="38">
        <v>60</v>
      </c>
      <c r="C13" s="38">
        <v>48</v>
      </c>
      <c r="D13" s="38">
        <f t="shared" si="0"/>
        <v>3600</v>
      </c>
      <c r="E13" s="38">
        <f t="shared" si="1"/>
        <v>2304</v>
      </c>
      <c r="F13" s="38">
        <f t="shared" si="2"/>
        <v>2880</v>
      </c>
      <c r="G13" s="39">
        <f t="shared" si="3"/>
        <v>47.913117283950626</v>
      </c>
      <c r="H13" s="39">
        <f t="shared" si="4"/>
        <v>8.6882716049373698E-2</v>
      </c>
      <c r="I13" s="39">
        <f t="shared" si="5"/>
        <v>7.5486063481160978E-3</v>
      </c>
      <c r="J13" s="34">
        <f>ABS(H13/C13)</f>
        <v>1.810056584361952E-3</v>
      </c>
      <c r="L13" s="18" t="s">
        <v>24</v>
      </c>
      <c r="M13" s="6">
        <f>SUM(I2:I15)/(14-2)</f>
        <v>0.34781741021324425</v>
      </c>
    </row>
    <row r="14" spans="1:17">
      <c r="A14" s="37">
        <v>13</v>
      </c>
      <c r="B14" s="38">
        <v>39.200000000000003</v>
      </c>
      <c r="C14" s="38">
        <v>32</v>
      </c>
      <c r="D14" s="38">
        <f t="shared" si="0"/>
        <v>1536.6400000000003</v>
      </c>
      <c r="E14" s="38">
        <f t="shared" si="1"/>
        <v>1024</v>
      </c>
      <c r="F14" s="38">
        <f t="shared" si="2"/>
        <v>1254.4000000000001</v>
      </c>
      <c r="G14" s="39">
        <f t="shared" si="3"/>
        <v>31.81485690235689</v>
      </c>
      <c r="H14" s="39">
        <f t="shared" si="4"/>
        <v>0.18514309764310966</v>
      </c>
      <c r="I14" s="39">
        <f t="shared" si="5"/>
        <v>3.4277966604886037E-2</v>
      </c>
      <c r="J14" s="34">
        <f t="shared" si="6"/>
        <v>5.7857218013471767E-3</v>
      </c>
      <c r="L14" s="19"/>
    </row>
    <row r="15" spans="1:17" ht="15.6">
      <c r="A15" s="37">
        <v>14</v>
      </c>
      <c r="B15" s="38">
        <v>50</v>
      </c>
      <c r="C15" s="38">
        <v>40.299999999999997</v>
      </c>
      <c r="D15" s="38">
        <f t="shared" si="0"/>
        <v>2500</v>
      </c>
      <c r="E15" s="38">
        <f t="shared" si="1"/>
        <v>1624.0899999999997</v>
      </c>
      <c r="F15" s="38">
        <f t="shared" si="2"/>
        <v>2014.9999999999998</v>
      </c>
      <c r="G15" s="39">
        <f t="shared" si="3"/>
        <v>40.173569023569023</v>
      </c>
      <c r="H15" s="39">
        <f t="shared" si="4"/>
        <v>0.12643097643097434</v>
      </c>
      <c r="I15" s="39">
        <f t="shared" si="5"/>
        <v>1.5984791801289588E-2</v>
      </c>
      <c r="J15" s="34">
        <f>ABS(H15/C15)</f>
        <v>3.1372450727288922E-3</v>
      </c>
      <c r="L15" s="18" t="s">
        <v>25</v>
      </c>
      <c r="M15" s="5">
        <f>SQRT(SUM(I2:I15)/12/SUMPRODUCT((B2:B15-B17)^2))</f>
        <v>2.6675969632214126E-2</v>
      </c>
      <c r="O15" s="11" t="e">
        <f ca="1">M10-_xlfn.T.INV.2T(0.05,12)*M15</f>
        <v>#NAME?</v>
      </c>
      <c r="P15" s="21" t="s">
        <v>30</v>
      </c>
      <c r="Q15" s="12" t="e">
        <f ca="1">M10+_xlfn.T.INV.2T(0.05,12)*M15</f>
        <v>#NAME?</v>
      </c>
    </row>
    <row r="16" spans="1:17" ht="15.6">
      <c r="A16" s="37" t="s">
        <v>9</v>
      </c>
      <c r="B16" s="38">
        <f>SUM(B2:B15)</f>
        <v>690.40000000000009</v>
      </c>
      <c r="C16" s="38">
        <f t="shared" ref="C16:J16" si="7">SUM(C2:C15)</f>
        <v>555</v>
      </c>
      <c r="D16" s="38">
        <f t="shared" si="7"/>
        <v>34535.360000000001</v>
      </c>
      <c r="E16" s="38">
        <f t="shared" si="7"/>
        <v>22298.74</v>
      </c>
      <c r="F16" s="38">
        <f t="shared" si="7"/>
        <v>27747.72</v>
      </c>
      <c r="G16" s="38">
        <f t="shared" si="7"/>
        <v>554.99999999999989</v>
      </c>
      <c r="H16" s="39">
        <f t="shared" si="7"/>
        <v>1.7763568394002505E-14</v>
      </c>
      <c r="I16" s="39">
        <f t="shared" si="7"/>
        <v>4.1738089225589308</v>
      </c>
      <c r="J16" s="39">
        <f t="shared" si="7"/>
        <v>0.14524072752562703</v>
      </c>
      <c r="L16" s="18" t="s">
        <v>26</v>
      </c>
      <c r="M16" s="8">
        <f>M10/M15</f>
        <v>29.01318440187179</v>
      </c>
    </row>
    <row r="17" spans="1:13" ht="15.6">
      <c r="A17" s="37" t="s">
        <v>10</v>
      </c>
      <c r="B17" s="39">
        <f>AVERAGE(B2:B15)</f>
        <v>49.314285714285724</v>
      </c>
      <c r="C17" s="39">
        <f t="shared" ref="C17:I17" si="8">AVERAGE(C2:C15)</f>
        <v>39.642857142857146</v>
      </c>
      <c r="D17" s="38">
        <f t="shared" si="8"/>
        <v>2466.8114285714287</v>
      </c>
      <c r="E17" s="38">
        <f t="shared" si="8"/>
        <v>1592.767142857143</v>
      </c>
      <c r="F17" s="38">
        <f t="shared" si="8"/>
        <v>1981.98</v>
      </c>
      <c r="G17" s="38">
        <f t="shared" si="8"/>
        <v>39.642857142857132</v>
      </c>
      <c r="H17" s="39">
        <f t="shared" si="8"/>
        <v>1.2688263138573218E-15</v>
      </c>
      <c r="I17" s="39">
        <f t="shared" si="8"/>
        <v>0.29812920875420934</v>
      </c>
      <c r="J17" s="29"/>
      <c r="L17" s="18" t="s">
        <v>27</v>
      </c>
      <c r="M17" s="6">
        <f>SQRT(SUM(I2:I15)/12)*SQRT(SUM(D2:D15)/14/SUMPRODUCT((B2:B15-B17)^2))</f>
        <v>1.3249155286241221</v>
      </c>
    </row>
    <row r="18" spans="1:13" ht="15.6">
      <c r="L18" s="18" t="s">
        <v>26</v>
      </c>
      <c r="M18" s="6">
        <f>M11/M17</f>
        <v>1.1139032563031344</v>
      </c>
    </row>
    <row r="19" spans="1:13" ht="15.6">
      <c r="A19" s="23"/>
      <c r="B19" s="23"/>
      <c r="C19" s="23"/>
      <c r="D19" s="23"/>
      <c r="L19" s="20" t="s">
        <v>28</v>
      </c>
      <c r="M19" s="9" t="e">
        <f ca="1">_xlfn.T.INV.2T(0.05, 12)</f>
        <v>#NAME?</v>
      </c>
    </row>
    <row r="20" spans="1:13">
      <c r="L20" s="19"/>
    </row>
    <row r="21" spans="1:13" ht="16.2" thickBot="1">
      <c r="L21" s="22" t="s">
        <v>29</v>
      </c>
      <c r="M21" s="10">
        <f>J16/14</f>
        <v>1.037433768040193E-2</v>
      </c>
    </row>
    <row r="22" spans="1:13">
      <c r="H22" s="19"/>
    </row>
    <row r="23" spans="1:13">
      <c r="H23" s="19"/>
    </row>
    <row r="24" spans="1:13">
      <c r="G24" s="37" t="s">
        <v>0</v>
      </c>
      <c r="H24" s="37" t="s">
        <v>1</v>
      </c>
      <c r="I24" s="37" t="s">
        <v>2</v>
      </c>
      <c r="J24" s="37" t="s">
        <v>6</v>
      </c>
      <c r="K24" s="37" t="s">
        <v>31</v>
      </c>
      <c r="L24" s="37" t="s">
        <v>33</v>
      </c>
      <c r="M24" s="37" t="s">
        <v>32</v>
      </c>
    </row>
    <row r="25" spans="1:13">
      <c r="G25" s="37">
        <v>13</v>
      </c>
      <c r="H25" s="38">
        <v>39.200000000000003</v>
      </c>
      <c r="I25" s="38">
        <v>32</v>
      </c>
      <c r="J25" s="39">
        <f t="shared" ref="J25:J38" si="9">$C$17-(($F$17-$B$17*$C$17)/($D$17-$B$17*$B$17))*$B$17+(($F$17-$B$17*$C$17)/($D$17-$B$17*$B$17))*H25</f>
        <v>31.81485690235689</v>
      </c>
      <c r="K25" s="39">
        <f>SQRT($M$13 * (1/14 + (B2-$B$17)^2 / SUMPRODUCT(($B$2:$B$15-$B$17)^2)))</f>
        <v>0.23460991537155498</v>
      </c>
      <c r="L25" s="39" t="e">
        <f ca="1">J25 - $M$19 * K25</f>
        <v>#NAME?</v>
      </c>
      <c r="M25" s="34" t="e">
        <f ca="1">J25 + $M$19 * K25</f>
        <v>#NAME?</v>
      </c>
    </row>
    <row r="26" spans="1:13">
      <c r="G26" s="37">
        <v>1</v>
      </c>
      <c r="H26" s="38">
        <v>42.8</v>
      </c>
      <c r="I26" s="38">
        <v>34</v>
      </c>
      <c r="J26" s="39">
        <f t="shared" si="9"/>
        <v>34.601094276094265</v>
      </c>
      <c r="K26" s="39">
        <f>SQRT($M$13 * (1/14 + (B3-$B$17)^2 / SUMPRODUCT(($B$2:$B$15-$B$17)^2)))</f>
        <v>0.21927211242396152</v>
      </c>
      <c r="L26" s="39" t="e">
        <f ca="1">J26 - $M$19 * K26</f>
        <v>#NAME?</v>
      </c>
      <c r="M26" s="34" t="e">
        <f ca="1">J26 + $M$19 * K26</f>
        <v>#NAME?</v>
      </c>
    </row>
    <row r="27" spans="1:13">
      <c r="G27" s="37">
        <v>2</v>
      </c>
      <c r="H27" s="38">
        <v>43.6</v>
      </c>
      <c r="I27" s="38">
        <v>35</v>
      </c>
      <c r="J27" s="39">
        <f t="shared" si="9"/>
        <v>35.220258136924798</v>
      </c>
      <c r="K27" s="39">
        <f>SQRT($M$13 * (1/14 + (B4-$B$17)^2 / SUMPRODUCT(($B$2:$B$15-$B$17)^2)))</f>
        <v>0.21199305239976282</v>
      </c>
      <c r="L27" s="39" t="e">
        <f ca="1">J27 - $M$19 * K27</f>
        <v>#NAME?</v>
      </c>
      <c r="M27" s="34" t="e">
        <f ca="1">J27 + $M$19 * K27</f>
        <v>#NAME?</v>
      </c>
    </row>
    <row r="28" spans="1:13">
      <c r="G28" s="37">
        <v>3</v>
      </c>
      <c r="H28" s="38">
        <v>44</v>
      </c>
      <c r="I28" s="38">
        <v>36</v>
      </c>
      <c r="J28" s="39">
        <f t="shared" si="9"/>
        <v>35.529840067340061</v>
      </c>
      <c r="K28" s="39">
        <f>SQRT($M$13 * (1/14 + (B5-$B$17)^2 / SUMPRODUCT(($B$2:$B$15-$B$17)^2)))</f>
        <v>0.19206698135194181</v>
      </c>
      <c r="L28" s="39" t="e">
        <f ca="1">J28 - $M$19 * K28</f>
        <v>#NAME?</v>
      </c>
      <c r="M28" s="34" t="e">
        <f ca="1">J28 + $M$19 * K28</f>
        <v>#NAME?</v>
      </c>
    </row>
    <row r="29" spans="1:13">
      <c r="G29" s="37">
        <v>4</v>
      </c>
      <c r="H29" s="38">
        <v>45.2</v>
      </c>
      <c r="I29" s="38">
        <v>36.700000000000003</v>
      </c>
      <c r="J29" s="39">
        <f t="shared" si="9"/>
        <v>36.458585858585856</v>
      </c>
      <c r="K29" s="39">
        <f>SQRT($M$13 * (1/14 + (B6-$B$17)^2 / SUMPRODUCT(($B$2:$B$15-$B$17)^2)))</f>
        <v>0.16147226857018274</v>
      </c>
      <c r="L29" s="39" t="e">
        <f ca="1">J29 - $M$19 * K29</f>
        <v>#NAME?</v>
      </c>
      <c r="M29" s="34" t="e">
        <f ca="1">J29 + $M$19 * K29</f>
        <v>#NAME?</v>
      </c>
    </row>
    <row r="30" spans="1:13">
      <c r="G30" s="37">
        <v>5</v>
      </c>
      <c r="H30" s="38">
        <v>48</v>
      </c>
      <c r="I30" s="38">
        <v>38.299999999999997</v>
      </c>
      <c r="J30" s="39">
        <f t="shared" si="9"/>
        <v>38.625659371492702</v>
      </c>
      <c r="K30" s="39">
        <f>SQRT($M$13 * (1/14 + (B7-$B$17)^2 / SUMPRODUCT(($B$2:$B$15-$B$17)^2)))</f>
        <v>0.15821603462933831</v>
      </c>
      <c r="L30" s="39" t="e">
        <f ca="1">J30 - $M$19 * K30</f>
        <v>#NAME?</v>
      </c>
      <c r="M30" s="34" t="e">
        <f ca="1">J30 + $M$19 * K30</f>
        <v>#NAME?</v>
      </c>
    </row>
    <row r="31" spans="1:13">
      <c r="G31" s="37">
        <v>6</v>
      </c>
      <c r="H31" s="38">
        <v>48.8</v>
      </c>
      <c r="I31" s="38">
        <v>39</v>
      </c>
      <c r="J31" s="39">
        <f t="shared" si="9"/>
        <v>39.244823232323228</v>
      </c>
      <c r="K31" s="39">
        <f>SQRT($M$13 * (1/14 + (B8-$B$17)^2 / SUMPRODUCT(($B$2:$B$15-$B$17)^2)))</f>
        <v>0.15764959623462529</v>
      </c>
      <c r="L31" s="39" t="e">
        <f ca="1">J31 - $M$19 * K31</f>
        <v>#NAME?</v>
      </c>
      <c r="M31" s="34" t="e">
        <f ca="1">J31 + $M$19 * K31</f>
        <v>#NAME?</v>
      </c>
    </row>
    <row r="32" spans="1:13">
      <c r="G32" s="37">
        <v>7</v>
      </c>
      <c r="H32" s="38">
        <v>49.2</v>
      </c>
      <c r="I32" s="38">
        <v>39.700000000000003</v>
      </c>
      <c r="J32" s="39">
        <f t="shared" si="9"/>
        <v>39.554405162738497</v>
      </c>
      <c r="K32" s="39">
        <f>SQRT($M$13 * (1/14 + (B9-$B$17)^2 / SUMPRODUCT(($B$2:$B$15-$B$17)^2)))</f>
        <v>0.16545246567039346</v>
      </c>
      <c r="L32" s="39" t="e">
        <f ca="1">J32 - $M$19 * K32</f>
        <v>#NAME?</v>
      </c>
      <c r="M32" s="34" t="e">
        <f ca="1">J32 + $M$19 * K32</f>
        <v>#NAME?</v>
      </c>
    </row>
    <row r="33" spans="1:23">
      <c r="G33" s="37">
        <v>14</v>
      </c>
      <c r="H33" s="38">
        <v>50</v>
      </c>
      <c r="I33" s="38">
        <v>40.299999999999997</v>
      </c>
      <c r="J33" s="39">
        <f t="shared" si="9"/>
        <v>40.173569023569023</v>
      </c>
      <c r="K33" s="39">
        <f>SQRT($M$13 * (1/14 + (B10-$B$17)^2 / SUMPRODUCT(($B$2:$B$15-$B$17)^2)))</f>
        <v>0.20796504976267871</v>
      </c>
      <c r="L33" s="39" t="e">
        <f ca="1">J33 - $M$19 * K33</f>
        <v>#NAME?</v>
      </c>
      <c r="M33" s="34" t="e">
        <f ca="1">J33 + $M$19 * K33</f>
        <v>#NAME?</v>
      </c>
    </row>
    <row r="34" spans="1:23">
      <c r="A34" s="50"/>
      <c r="B34" s="50"/>
      <c r="C34" s="50"/>
      <c r="D34" s="50"/>
      <c r="E34" s="50"/>
      <c r="F34" s="50"/>
      <c r="G34" s="37">
        <v>8</v>
      </c>
      <c r="H34" s="38">
        <v>51.2</v>
      </c>
      <c r="I34" s="38">
        <v>41.7</v>
      </c>
      <c r="J34" s="39">
        <f t="shared" si="9"/>
        <v>41.102314814814818</v>
      </c>
      <c r="K34" s="39">
        <f>SQRT($M$13 * (1/14 + (B11-$B$17)^2 / SUMPRODUCT(($B$2:$B$15-$B$17)^2)))</f>
        <v>0.23801697035856975</v>
      </c>
      <c r="L34" s="39" t="e">
        <f ca="1">J34 - $M$19 * K34</f>
        <v>#NAME?</v>
      </c>
      <c r="M34" s="34" t="e">
        <f ca="1">J34 + $M$19 * K34</f>
        <v>#NAME?</v>
      </c>
    </row>
    <row r="35" spans="1:23">
      <c r="A35" s="50"/>
      <c r="B35" s="50"/>
      <c r="C35" s="50"/>
      <c r="D35" s="50"/>
      <c r="E35" s="50"/>
      <c r="F35" s="50"/>
      <c r="G35" s="37">
        <v>9</v>
      </c>
      <c r="H35" s="38">
        <v>54.4</v>
      </c>
      <c r="I35" s="38">
        <v>44</v>
      </c>
      <c r="J35" s="39">
        <f t="shared" si="9"/>
        <v>43.578970258136927</v>
      </c>
      <c r="K35" s="39">
        <f>SQRT($M$13 * (1/14 + (B12-$B$17)^2 / SUMPRODUCT(($B$2:$B$15-$B$17)^2)))</f>
        <v>0.28023012232880362</v>
      </c>
      <c r="L35" s="39" t="e">
        <f ca="1">J35 - $M$19 * K35</f>
        <v>#NAME?</v>
      </c>
      <c r="M35" s="34" t="e">
        <f ca="1">J35 + $M$19 * K35</f>
        <v>#NAME?</v>
      </c>
    </row>
    <row r="36" spans="1:23">
      <c r="A36" s="50"/>
      <c r="B36" s="50"/>
      <c r="C36" s="50"/>
      <c r="D36" s="50"/>
      <c r="E36" s="50"/>
      <c r="F36" s="50"/>
      <c r="G36" s="37">
        <v>10</v>
      </c>
      <c r="H36" s="38">
        <v>56</v>
      </c>
      <c r="I36" s="38">
        <v>43.3</v>
      </c>
      <c r="J36" s="39">
        <f t="shared" si="9"/>
        <v>44.817297979797985</v>
      </c>
      <c r="K36" s="39">
        <f>SQRT($M$13 * (1/14 + (B13-$B$17)^2 / SUMPRODUCT(($B$2:$B$15-$B$17)^2)))</f>
        <v>0.32572783668073368</v>
      </c>
      <c r="L36" s="39" t="e">
        <f ca="1">J36 - $M$19 * K36</f>
        <v>#NAME?</v>
      </c>
      <c r="M36" s="34" t="e">
        <f ca="1">J36 + $M$19 * K36</f>
        <v>#NAME?</v>
      </c>
    </row>
    <row r="37" spans="1:23">
      <c r="A37" s="50"/>
      <c r="B37" s="50"/>
      <c r="C37" s="50"/>
      <c r="D37" s="50"/>
      <c r="E37" s="50"/>
      <c r="F37" s="50"/>
      <c r="G37" s="37">
        <v>11</v>
      </c>
      <c r="H37" s="38">
        <v>58</v>
      </c>
      <c r="I37" s="38">
        <v>47</v>
      </c>
      <c r="J37" s="39">
        <f t="shared" si="9"/>
        <v>46.365207631874306</v>
      </c>
      <c r="K37" s="39">
        <f>SQRT($M$13 * (1/14 + (B14-$B$17)^2 / SUMPRODUCT(($B$2:$B$15-$B$17)^2)))</f>
        <v>0.31247505800277237</v>
      </c>
      <c r="L37" s="39" t="e">
        <f ca="1">J37 - $M$19 * K37</f>
        <v>#NAME?</v>
      </c>
      <c r="M37" s="34" t="e">
        <f ca="1">J37 + $M$19 * K37</f>
        <v>#NAME?</v>
      </c>
    </row>
    <row r="38" spans="1:23">
      <c r="A38" s="50"/>
      <c r="B38" s="50"/>
      <c r="C38" s="50"/>
      <c r="D38" s="50"/>
      <c r="E38" s="50"/>
      <c r="F38" s="50"/>
      <c r="G38" s="37">
        <v>12</v>
      </c>
      <c r="H38" s="38">
        <v>60</v>
      </c>
      <c r="I38" s="38">
        <v>48</v>
      </c>
      <c r="J38" s="39">
        <f t="shared" si="9"/>
        <v>47.913117283950626</v>
      </c>
      <c r="K38" s="39">
        <f>SQRT($M$13 * (1/14 + (B15-$B$17)^2 / SUMPRODUCT(($B$2:$B$15-$B$17)^2)))</f>
        <v>0.15867798023904658</v>
      </c>
      <c r="L38" s="39" t="e">
        <f ca="1">J38 - $M$19 * K38</f>
        <v>#NAME?</v>
      </c>
      <c r="M38" s="34" t="e">
        <f ca="1">J38 + $M$19 * K38</f>
        <v>#NAME?</v>
      </c>
    </row>
    <row r="39" spans="1:23">
      <c r="A39" s="50"/>
      <c r="B39" s="50"/>
      <c r="C39" s="50"/>
      <c r="D39" s="50"/>
      <c r="E39" s="50"/>
      <c r="F39" s="50"/>
    </row>
    <row r="40" spans="1:23">
      <c r="A40" s="50"/>
      <c r="B40" s="50"/>
      <c r="C40" s="50"/>
      <c r="D40" s="50"/>
      <c r="E40" s="50"/>
      <c r="F40" s="50"/>
      <c r="H40" s="28" t="s">
        <v>34</v>
      </c>
      <c r="I40" s="29">
        <v>52.5</v>
      </c>
      <c r="L40" s="30" t="s">
        <v>20</v>
      </c>
      <c r="M40" s="31">
        <f>1-SUM(W43:W56)/SUMPRODUCT((I25:I38-AVERAGE(I25:I38))^2)</f>
        <v>0.98592467119828842</v>
      </c>
    </row>
    <row r="41" spans="1:23">
      <c r="A41" s="50"/>
      <c r="B41" s="50"/>
      <c r="C41" s="50"/>
      <c r="D41" s="50"/>
      <c r="E41" s="50"/>
      <c r="F41" s="50"/>
      <c r="H41" s="28" t="s">
        <v>35</v>
      </c>
      <c r="I41" s="32">
        <f>M11+M10*I40</f>
        <v>42.108456088664425</v>
      </c>
      <c r="L41" s="30" t="s">
        <v>49</v>
      </c>
      <c r="M41" s="31">
        <f>SQRT(M40)</f>
        <v>0.99293739540732795</v>
      </c>
    </row>
    <row r="42" spans="1:23">
      <c r="A42" s="50"/>
      <c r="B42" s="50"/>
      <c r="C42" s="50"/>
      <c r="D42" s="50"/>
      <c r="E42" s="50"/>
      <c r="F42" s="50"/>
      <c r="H42" s="42"/>
      <c r="I42" s="43"/>
      <c r="L42" s="30" t="s">
        <v>29</v>
      </c>
      <c r="M42" s="33">
        <f>J16/14</f>
        <v>1.037433768040193E-2</v>
      </c>
      <c r="O42" s="44" t="s">
        <v>0</v>
      </c>
      <c r="P42" s="44" t="s">
        <v>39</v>
      </c>
      <c r="Q42" s="44" t="s">
        <v>40</v>
      </c>
      <c r="R42" s="44" t="s">
        <v>41</v>
      </c>
      <c r="S42" s="44" t="s">
        <v>42</v>
      </c>
      <c r="T42" s="44" t="s">
        <v>43</v>
      </c>
      <c r="U42" s="44" t="s">
        <v>44</v>
      </c>
      <c r="V42" s="44" t="s">
        <v>7</v>
      </c>
      <c r="W42" s="44" t="s">
        <v>45</v>
      </c>
    </row>
    <row r="43" spans="1:23">
      <c r="A43" s="50"/>
      <c r="B43" s="50"/>
      <c r="C43" s="50"/>
      <c r="D43" s="50"/>
      <c r="E43" s="50"/>
      <c r="F43" s="50"/>
      <c r="H43" s="28" t="s">
        <v>36</v>
      </c>
      <c r="I43" s="34">
        <f>SQRT($M$13 * (1 + 1/14 + ($I$40-$B$17)^2 / SUMPRODUCT(($B$2:$B$15-$B$17)^2)))</f>
        <v>0.61634686196035482</v>
      </c>
      <c r="L43" s="30" t="s">
        <v>50</v>
      </c>
      <c r="M43" s="35">
        <f>(0.986/(1-0.986))*12/1</f>
        <v>845.14285714285631</v>
      </c>
      <c r="O43" s="44">
        <v>1</v>
      </c>
      <c r="P43" s="45">
        <f>LN(H25)</f>
        <v>3.6686767467964168</v>
      </c>
      <c r="Q43" s="45">
        <f>LN(I25)</f>
        <v>3.4657359027997265</v>
      </c>
      <c r="R43" s="45">
        <f>P43^2</f>
        <v>13.45918907248474</v>
      </c>
      <c r="S43" s="45">
        <f>Q43^2</f>
        <v>12.011325347955035</v>
      </c>
      <c r="T43" s="45">
        <f>P43*Q43</f>
        <v>12.714664717138843</v>
      </c>
      <c r="U43" s="45">
        <f>$M$49*(INDEX($H$25:$H$38,O43)^$M$48)</f>
        <v>31.796844173942688</v>
      </c>
      <c r="V43" s="45">
        <f>INDEX($I$25:$I$38,O43)-$U$43</f>
        <v>0.20315582605731208</v>
      </c>
      <c r="W43" s="45">
        <f>V43^2</f>
        <v>4.1272289661028846E-2</v>
      </c>
    </row>
    <row r="44" spans="1:23">
      <c r="A44" s="50"/>
      <c r="B44" s="50"/>
      <c r="C44" s="50"/>
      <c r="D44" s="50"/>
      <c r="E44" s="50"/>
      <c r="F44" s="50"/>
      <c r="H44" s="28" t="s">
        <v>37</v>
      </c>
      <c r="I44" s="32" t="e">
        <f ca="1">I41 - _xlfn.T.INV.2T(0.05,12) * I43</f>
        <v>#NAME?</v>
      </c>
      <c r="L44" s="30" t="s">
        <v>51</v>
      </c>
      <c r="M44" s="34" t="e">
        <f ca="1">_xlfn.F.INV.RT(0.05, 1, 12)</f>
        <v>#NAME?</v>
      </c>
      <c r="O44" s="44">
        <v>2</v>
      </c>
      <c r="P44" s="45">
        <f>LN(H26)</f>
        <v>3.7565381025877511</v>
      </c>
      <c r="Q44" s="45">
        <f>LN(I26)</f>
        <v>3.5263605246161616</v>
      </c>
      <c r="R44" s="45">
        <f t="shared" ref="R44:S56" si="10">P44^2</f>
        <v>14.111578516193582</v>
      </c>
      <c r="S44" s="45">
        <f t="shared" si="10"/>
        <v>12.43521854957117</v>
      </c>
      <c r="T44" s="45">
        <f t="shared" ref="T44:T56" si="11">P44*Q44</f>
        <v>13.246907674181942</v>
      </c>
      <c r="U44" s="45">
        <f>$M$49*(INDEX($H$25:$H$38,O44)^$M$48)</f>
        <v>34.599910533316923</v>
      </c>
      <c r="V44" s="45">
        <f>INDEX($I$25:$I$38,O44)-U44</f>
        <v>-0.59991053331692257</v>
      </c>
      <c r="W44" s="45">
        <f t="shared" ref="W44:W56" si="12">V44^2</f>
        <v>0.35989264798459447</v>
      </c>
    </row>
    <row r="45" spans="1:23">
      <c r="A45" s="50"/>
      <c r="B45" s="50"/>
      <c r="C45" s="50"/>
      <c r="D45" s="50"/>
      <c r="E45" s="50"/>
      <c r="F45" s="50"/>
      <c r="H45" s="28" t="s">
        <v>38</v>
      </c>
      <c r="I45" s="34" t="e">
        <f ca="1">I41 + _xlfn.T.INV.2T(0.05,12) * I43</f>
        <v>#NAME?</v>
      </c>
      <c r="O45" s="44">
        <v>3</v>
      </c>
      <c r="P45" s="45">
        <f>LN(H27)</f>
        <v>3.7750571503549888</v>
      </c>
      <c r="Q45" s="45">
        <f>LN(I27)</f>
        <v>3.5553480614894135</v>
      </c>
      <c r="R45" s="45">
        <f t="shared" si="10"/>
        <v>14.251056488446329</v>
      </c>
      <c r="S45" s="45">
        <f t="shared" si="10"/>
        <v>12.640499838336531</v>
      </c>
      <c r="T45" s="45">
        <f t="shared" si="11"/>
        <v>13.421642121526359</v>
      </c>
      <c r="U45" s="45">
        <f>$M$49*(INDEX($H$25:$H$38,O45)^$M$48)</f>
        <v>35.221556298646696</v>
      </c>
      <c r="V45" s="45">
        <f>INDEX($I$25:$I$38,O45)-U45</f>
        <v>-0.22155629864669635</v>
      </c>
      <c r="W45" s="45">
        <f t="shared" si="12"/>
        <v>4.9087193470024104E-2</v>
      </c>
    </row>
    <row r="46" spans="1:23">
      <c r="A46" s="50"/>
      <c r="B46" s="50"/>
      <c r="C46" s="50"/>
      <c r="D46" s="50"/>
      <c r="E46" s="50"/>
      <c r="F46" s="50"/>
      <c r="O46" s="44">
        <v>4</v>
      </c>
      <c r="P46" s="45">
        <f>LN(H28)</f>
        <v>3.784189633918261</v>
      </c>
      <c r="Q46" s="45">
        <f>LN(I28)</f>
        <v>3.5835189384561099</v>
      </c>
      <c r="R46" s="45">
        <f t="shared" si="10"/>
        <v>14.320091185454423</v>
      </c>
      <c r="S46" s="45">
        <f t="shared" si="10"/>
        <v>12.841607982273604</v>
      </c>
      <c r="T46" s="45">
        <f t="shared" si="11"/>
        <v>13.560715219855382</v>
      </c>
      <c r="U46" s="45">
        <f>$M$49*(INDEX($H$25:$H$38,O46)^$M$48)</f>
        <v>35.53221429203797</v>
      </c>
      <c r="V46" s="45">
        <f>INDEX($I$25:$I$38,O46)-U46</f>
        <v>0.46778570796202956</v>
      </c>
      <c r="W46" s="45">
        <f t="shared" si="12"/>
        <v>0.21882346857353721</v>
      </c>
    </row>
    <row r="47" spans="1:23" ht="15.6">
      <c r="A47" s="50"/>
      <c r="B47" s="50"/>
      <c r="C47" s="50"/>
      <c r="D47" s="50"/>
      <c r="E47" s="50"/>
      <c r="F47" s="50"/>
      <c r="L47" s="47" t="s">
        <v>46</v>
      </c>
      <c r="M47" s="34">
        <f>INTERCEPT(Q43:Q56, P43:P56)</f>
        <v>-6.82893583444244E-2</v>
      </c>
      <c r="O47" s="44">
        <v>5</v>
      </c>
      <c r="P47" s="45">
        <f>LN(H29)</f>
        <v>3.8110970868381857</v>
      </c>
      <c r="Q47" s="45">
        <f>LN(I29)</f>
        <v>3.6027767550605247</v>
      </c>
      <c r="R47" s="45">
        <f t="shared" si="10"/>
        <v>14.524461005306506</v>
      </c>
      <c r="S47" s="45">
        <f t="shared" si="10"/>
        <v>12.980000346804445</v>
      </c>
      <c r="T47" s="45">
        <f t="shared" si="11"/>
        <v>13.730531995739497</v>
      </c>
      <c r="U47" s="45">
        <f>$M$49*(INDEX($H$25:$H$38,O47)^$M$48)</f>
        <v>36.463541071015491</v>
      </c>
      <c r="V47" s="45">
        <f>INDEX($I$25:$I$38,O47)-U47</f>
        <v>0.23645892898451137</v>
      </c>
      <c r="W47" s="45">
        <f t="shared" si="12"/>
        <v>5.5912825096502194E-2</v>
      </c>
    </row>
    <row r="48" spans="1:23" ht="15.6">
      <c r="A48" s="50"/>
      <c r="B48" s="50"/>
      <c r="C48" s="50"/>
      <c r="D48" s="50"/>
      <c r="E48" s="50"/>
      <c r="F48" s="50"/>
      <c r="L48" s="48" t="s">
        <v>48</v>
      </c>
      <c r="M48" s="34">
        <f>SLOPE(Q43:Q56, P43:P56)</f>
        <v>0.96156097875706192</v>
      </c>
      <c r="O48" s="44">
        <v>6</v>
      </c>
      <c r="P48" s="45">
        <f>LN(H30)</f>
        <v>3.8712010109078911</v>
      </c>
      <c r="Q48" s="45">
        <f>LN(I30)</f>
        <v>3.6454498961866002</v>
      </c>
      <c r="R48" s="45">
        <f t="shared" si="10"/>
        <v>14.986197266854278</v>
      </c>
      <c r="S48" s="45">
        <f t="shared" si="10"/>
        <v>13.289304945606894</v>
      </c>
      <c r="T48" s="45">
        <f t="shared" si="11"/>
        <v>14.112269323331633</v>
      </c>
      <c r="U48" s="45">
        <f>$M$49*(INDEX($H$25:$H$38,O48)^$M$48)</f>
        <v>38.632986136813813</v>
      </c>
      <c r="V48" s="45">
        <f>INDEX($I$25:$I$38,O48)-U48</f>
        <v>-0.33298613681381539</v>
      </c>
      <c r="W48" s="45">
        <f t="shared" si="12"/>
        <v>0.11087976731018898</v>
      </c>
    </row>
    <row r="49" spans="1:23" ht="15.6">
      <c r="A49" s="50"/>
      <c r="B49" s="50"/>
      <c r="C49" s="50"/>
      <c r="D49" s="50"/>
      <c r="E49" s="50"/>
      <c r="F49" s="50"/>
      <c r="L49" s="49" t="s">
        <v>47</v>
      </c>
      <c r="M49" s="34">
        <f>EXP(INTERCEPT(Q43:Q56, P43:P56))</f>
        <v>0.93399017662154382</v>
      </c>
      <c r="O49" s="44">
        <v>7</v>
      </c>
      <c r="P49" s="45">
        <f>LN(H31)</f>
        <v>3.8877303128591016</v>
      </c>
      <c r="Q49" s="45">
        <f>LN(I31)</f>
        <v>3.6635616461296463</v>
      </c>
      <c r="R49" s="45">
        <f t="shared" si="10"/>
        <v>15.114446985523529</v>
      </c>
      <c r="S49" s="45">
        <f t="shared" si="10"/>
        <v>13.421683934992164</v>
      </c>
      <c r="T49" s="45">
        <f t="shared" si="11"/>
        <v>14.242939664686215</v>
      </c>
      <c r="U49" s="45">
        <f>$M$49*(INDEX($H$25:$H$38,O49)^$M$48)</f>
        <v>39.251921813533322</v>
      </c>
      <c r="V49" s="45">
        <f>INDEX($I$25:$I$38,O49)-U49</f>
        <v>-0.25192181353332188</v>
      </c>
      <c r="W49" s="45">
        <f t="shared" si="12"/>
        <v>6.3464600133917803E-2</v>
      </c>
    </row>
    <row r="50" spans="1:23">
      <c r="O50" s="44">
        <v>8</v>
      </c>
      <c r="P50" s="45">
        <f>LN(H32)</f>
        <v>3.8958936234982624</v>
      </c>
      <c r="Q50" s="45">
        <f>LN(I32)</f>
        <v>3.6813511876931448</v>
      </c>
      <c r="R50" s="45">
        <f t="shared" si="10"/>
        <v>15.17798712561442</v>
      </c>
      <c r="S50" s="45">
        <f t="shared" si="10"/>
        <v>13.552346567129728</v>
      </c>
      <c r="T50" s="45">
        <f t="shared" si="11"/>
        <v>14.342152617991477</v>
      </c>
      <c r="U50" s="45">
        <f>$M$49*(INDEX($H$25:$H$38,O50)^$M$48)</f>
        <v>39.561243020262154</v>
      </c>
      <c r="V50" s="45">
        <f>INDEX($I$25:$I$38,O50)-U50</f>
        <v>0.13875697973784895</v>
      </c>
      <c r="W50" s="45">
        <f t="shared" si="12"/>
        <v>1.9253499425969826E-2</v>
      </c>
    </row>
    <row r="51" spans="1:23">
      <c r="O51" s="44">
        <v>9</v>
      </c>
      <c r="P51" s="45">
        <f>LN(H33)</f>
        <v>3.912023005428146</v>
      </c>
      <c r="Q51" s="45">
        <f>LN(I33)</f>
        <v>3.6963514689526371</v>
      </c>
      <c r="R51" s="45">
        <f t="shared" si="10"/>
        <v>15.303923994999064</v>
      </c>
      <c r="S51" s="45">
        <f t="shared" si="10"/>
        <v>13.663014182028318</v>
      </c>
      <c r="T51" s="45">
        <f t="shared" si="11"/>
        <v>14.460211982690838</v>
      </c>
      <c r="U51" s="45">
        <f>$M$49*(INDEX($H$25:$H$38,O51)^$M$48)</f>
        <v>40.179596284976853</v>
      </c>
      <c r="V51" s="45">
        <f>INDEX($I$25:$I$38,O51)-U51</f>
        <v>0.12040371502314429</v>
      </c>
      <c r="W51" s="45">
        <f t="shared" si="12"/>
        <v>1.4497054591374542E-2</v>
      </c>
    </row>
    <row r="52" spans="1:23">
      <c r="O52" s="44">
        <v>10</v>
      </c>
      <c r="P52" s="45">
        <f>LN(H34)</f>
        <v>3.9357395320454622</v>
      </c>
      <c r="Q52" s="45">
        <f>LN(I34)</f>
        <v>3.730501128804756</v>
      </c>
      <c r="R52" s="45">
        <f t="shared" si="10"/>
        <v>15.490045664105434</v>
      </c>
      <c r="S52" s="45">
        <f t="shared" si="10"/>
        <v>13.916638672013558</v>
      </c>
      <c r="T52" s="45">
        <f t="shared" si="11"/>
        <v>14.682280766977099</v>
      </c>
      <c r="U52" s="45">
        <f>$M$49*(INDEX($H$25:$H$38,O52)^$M$48)</f>
        <v>41.10641525381002</v>
      </c>
      <c r="V52" s="45">
        <f>INDEX($I$25:$I$38,O52)-U52</f>
        <v>0.59358474618998258</v>
      </c>
      <c r="W52" s="45">
        <f t="shared" si="12"/>
        <v>0.35234285090942602</v>
      </c>
    </row>
    <row r="53" spans="1:23">
      <c r="O53" s="44">
        <v>11</v>
      </c>
      <c r="P53" s="45">
        <f>LN(H35)</f>
        <v>3.9963641538618968</v>
      </c>
      <c r="Q53" s="45">
        <f>LN(I35)</f>
        <v>3.784189633918261</v>
      </c>
      <c r="R53" s="45">
        <f t="shared" si="10"/>
        <v>15.970926450272314</v>
      </c>
      <c r="S53" s="45">
        <f t="shared" si="10"/>
        <v>14.320091185454423</v>
      </c>
      <c r="T53" s="45">
        <f t="shared" si="11"/>
        <v>15.122999804406712</v>
      </c>
      <c r="U53" s="45">
        <f>$M$49*(INDEX($H$25:$H$38,O53)^$M$48)</f>
        <v>43.573905301099799</v>
      </c>
      <c r="V53" s="45">
        <f>INDEX($I$25:$I$38,O53)-U53</f>
        <v>0.4260946989002008</v>
      </c>
      <c r="W53" s="45">
        <f t="shared" si="12"/>
        <v>0.18155669243085279</v>
      </c>
    </row>
    <row r="54" spans="1:23">
      <c r="O54" s="44">
        <v>12</v>
      </c>
      <c r="P54" s="45">
        <f>LN(H36)</f>
        <v>4.0253516907351496</v>
      </c>
      <c r="Q54" s="45">
        <f>LN(I36)</f>
        <v>3.7681526350084442</v>
      </c>
      <c r="R54" s="45">
        <f t="shared" si="10"/>
        <v>16.203456234104326</v>
      </c>
      <c r="S54" s="45">
        <f t="shared" si="10"/>
        <v>14.198974280721082</v>
      </c>
      <c r="T54" s="45">
        <f t="shared" si="11"/>
        <v>15.16813958027935</v>
      </c>
      <c r="U54" s="45">
        <f>$M$49*(INDEX($H$25:$H$38,O54)^$M$48)</f>
        <v>44.805538241400093</v>
      </c>
      <c r="V54" s="45">
        <f>INDEX($I$25:$I$38,O54)-U54</f>
        <v>-1.505538241400096</v>
      </c>
      <c r="W54" s="45">
        <f t="shared" si="12"/>
        <v>2.2666453963180935</v>
      </c>
    </row>
    <row r="55" spans="1:23">
      <c r="O55" s="44">
        <v>13</v>
      </c>
      <c r="P55" s="45">
        <f>LN(H37)</f>
        <v>4.0604430105464191</v>
      </c>
      <c r="Q55" s="45">
        <f>LN(I37)</f>
        <v>3.8501476017100584</v>
      </c>
      <c r="R55" s="45">
        <f t="shared" si="10"/>
        <v>16.487197441895269</v>
      </c>
      <c r="S55" s="45">
        <f t="shared" si="10"/>
        <v>14.823636554953715</v>
      </c>
      <c r="T55" s="45">
        <f t="shared" si="11"/>
        <v>15.633304918935664</v>
      </c>
      <c r="U55" s="45">
        <f>$M$49*(INDEX($H$25:$H$38,O55)^$M$48)</f>
        <v>46.343182650571208</v>
      </c>
      <c r="V55" s="45">
        <f>INDEX($I$25:$I$38,O55)-U55</f>
        <v>0.65681734942879189</v>
      </c>
      <c r="W55" s="45">
        <f t="shared" si="12"/>
        <v>0.4314090305106637</v>
      </c>
    </row>
    <row r="56" spans="1:23">
      <c r="O56" s="44">
        <v>14</v>
      </c>
      <c r="P56" s="45">
        <f>LN(H38)</f>
        <v>4.0943445622221004</v>
      </c>
      <c r="Q56" s="45">
        <f>LN(I38)</f>
        <v>3.8712010109078911</v>
      </c>
      <c r="R56" s="45">
        <f t="shared" si="10"/>
        <v>16.763657394197683</v>
      </c>
      <c r="S56" s="45">
        <f t="shared" si="10"/>
        <v>14.986197266854278</v>
      </c>
      <c r="T56" s="45">
        <f t="shared" si="11"/>
        <v>15.850030808279422</v>
      </c>
      <c r="U56" s="45">
        <f>$M$49*(INDEX($H$25:$H$38,O56)^$M$48)</f>
        <v>47.87878987629</v>
      </c>
      <c r="V56" s="45">
        <f>INDEX($I$25:$I$38,O56)-U56</f>
        <v>0.12121012371000006</v>
      </c>
      <c r="W56" s="45">
        <f t="shared" si="12"/>
        <v>1.4691894089793519E-2</v>
      </c>
    </row>
    <row r="57" spans="1:23">
      <c r="O57" s="44" t="s">
        <v>114</v>
      </c>
      <c r="P57" s="46">
        <f>SUM(P43:P56)</f>
        <v>54.474649622600033</v>
      </c>
      <c r="Q57" s="46">
        <f>SUM(Q43:Q56)</f>
        <v>51.424646391733368</v>
      </c>
      <c r="R57" s="46">
        <f t="shared" ref="R57:W57" si="13">SUM(R43:R56)</f>
        <v>212.16421482545186</v>
      </c>
      <c r="S57" s="46">
        <f t="shared" si="13"/>
        <v>189.08053965469492</v>
      </c>
      <c r="T57" s="46">
        <f t="shared" si="13"/>
        <v>200.28879119602044</v>
      </c>
      <c r="U57" s="46">
        <f t="shared" si="13"/>
        <v>554.94764494771698</v>
      </c>
      <c r="V57" s="46">
        <f t="shared" si="13"/>
        <v>5.2355052282969439E-2</v>
      </c>
      <c r="W57" s="46">
        <f t="shared" si="13"/>
        <v>4.1797292105059674</v>
      </c>
    </row>
    <row r="58" spans="1:23">
      <c r="O58" s="44" t="s">
        <v>115</v>
      </c>
      <c r="P58" s="45">
        <f>AVERAGE(P43:P56)</f>
        <v>3.8910464016142883</v>
      </c>
      <c r="Q58" s="45">
        <f>AVERAGE(Q43:Q56)</f>
        <v>3.6731890279809547</v>
      </c>
      <c r="R58" s="45">
        <f t="shared" ref="R58:W58" si="14">AVERAGE(R43:R56)</f>
        <v>15.154586773246562</v>
      </c>
      <c r="S58" s="45">
        <f t="shared" si="14"/>
        <v>13.505752832478208</v>
      </c>
      <c r="T58" s="45">
        <f t="shared" si="14"/>
        <v>14.306342228287175</v>
      </c>
      <c r="U58" s="45">
        <f t="shared" si="14"/>
        <v>39.639117496265499</v>
      </c>
      <c r="V58" s="45">
        <f t="shared" si="14"/>
        <v>3.7396465916406741E-3</v>
      </c>
      <c r="W58" s="45">
        <f t="shared" si="14"/>
        <v>0.29855208646471193</v>
      </c>
    </row>
  </sheetData>
  <autoFilter ref="G24:M24">
    <sortState ref="G25:M38">
      <sortCondition ref="H28"/>
    </sortState>
  </autoFilter>
  <mergeCells count="2">
    <mergeCell ref="O4:P4"/>
    <mergeCell ref="A19:D19"/>
  </mergeCells>
  <pageMargins left="0.7" right="0.7" top="0.75" bottom="0.75" header="0.3" footer="0.3"/>
  <pageSetup paperSize="9" orientation="portrait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24"/>
  <sheetViews>
    <sheetView workbookViewId="0">
      <selection activeCell="O15" sqref="O15"/>
    </sheetView>
  </sheetViews>
  <sheetFormatPr defaultRowHeight="14.4"/>
  <cols>
    <col min="1" max="1" width="11.33203125" style="19" customWidth="1"/>
    <col min="2" max="2" width="15.44140625" style="19" customWidth="1"/>
    <col min="3" max="3" width="16.5546875" style="19" customWidth="1"/>
    <col min="4" max="4" width="9.88671875" style="19" customWidth="1"/>
    <col min="5" max="5" width="10.33203125" style="19" customWidth="1"/>
    <col min="6" max="6" width="9.33203125" style="19" customWidth="1"/>
    <col min="7" max="9" width="8.88671875" style="19"/>
    <col min="10" max="10" width="11.33203125" style="19" customWidth="1"/>
    <col min="11" max="16384" width="8.88671875" style="19"/>
  </cols>
  <sheetData>
    <row r="1" spans="1:18">
      <c r="A1" s="53" t="s">
        <v>0</v>
      </c>
      <c r="B1" s="44" t="s">
        <v>1</v>
      </c>
      <c r="C1" s="44" t="s">
        <v>2</v>
      </c>
      <c r="D1" s="44" t="s">
        <v>52</v>
      </c>
      <c r="E1" s="44" t="s">
        <v>53</v>
      </c>
      <c r="F1" s="44" t="s">
        <v>76</v>
      </c>
      <c r="G1" s="44" t="s">
        <v>54</v>
      </c>
      <c r="H1" s="44" t="s">
        <v>55</v>
      </c>
      <c r="I1" s="44" t="s">
        <v>56</v>
      </c>
      <c r="J1" s="44" t="s">
        <v>57</v>
      </c>
      <c r="L1" s="65" t="s">
        <v>58</v>
      </c>
      <c r="M1" s="66" t="s">
        <v>59</v>
      </c>
      <c r="N1" s="66"/>
      <c r="O1" s="67" t="s">
        <v>85</v>
      </c>
      <c r="P1" s="67"/>
      <c r="Q1" s="67" t="s">
        <v>84</v>
      </c>
      <c r="R1" s="67"/>
    </row>
    <row r="2" spans="1:18">
      <c r="A2" s="44">
        <v>1</v>
      </c>
      <c r="B2" s="44">
        <v>47.97</v>
      </c>
      <c r="C2" s="54">
        <v>3.7</v>
      </c>
      <c r="D2" s="54">
        <f>LN(B2)</f>
        <v>3.8705758155139725</v>
      </c>
      <c r="E2" s="54">
        <f>LN(C2)</f>
        <v>1.3083328196501789</v>
      </c>
      <c r="F2" s="54">
        <f>SQRT(B2)</f>
        <v>6.9260378283691173</v>
      </c>
      <c r="G2" s="54">
        <f>ABS(C2-(-0.147147402 + 0.075443525*B2))/C2</f>
        <v>6.1654461554054067E-2</v>
      </c>
      <c r="H2" s="54">
        <f>ABS(C2-(-17.63062454 + 5.404088204*D2))/C2</f>
        <v>0.11180849532250364</v>
      </c>
      <c r="I2" s="54">
        <f>ABS(C2-(-5.525287771 + 1.285489136*F2))/C2</f>
        <v>8.7011185704450697E-2</v>
      </c>
      <c r="J2" s="54">
        <f>ABS(C2-(EXP(-2.592513354)*(B2^0.995437033)))/C2</f>
        <v>4.6801081019546005E-2</v>
      </c>
      <c r="L2" s="65"/>
      <c r="M2" s="66"/>
      <c r="N2" s="66"/>
      <c r="O2" s="67"/>
      <c r="P2" s="67"/>
      <c r="Q2" s="67"/>
      <c r="R2" s="67"/>
    </row>
    <row r="3" spans="1:18">
      <c r="A3" s="44">
        <v>2</v>
      </c>
      <c r="B3" s="44">
        <v>48.97</v>
      </c>
      <c r="C3" s="54">
        <v>3.6</v>
      </c>
      <c r="D3" s="54">
        <f t="shared" ref="D3:E21" si="0">LN(B3)</f>
        <v>3.8912078657142262</v>
      </c>
      <c r="E3" s="54">
        <f t="shared" si="0"/>
        <v>1.2809338454620642</v>
      </c>
      <c r="F3" s="54">
        <f t="shared" ref="F3:F21" si="1">SQRT(B3)</f>
        <v>6.9978568147683617</v>
      </c>
      <c r="G3" s="54">
        <f t="shared" ref="G3:G21" si="2">ABS(C3-(-0.147147402 + 0.075443525*B3))/C3</f>
        <v>1.4632772986111146E-2</v>
      </c>
      <c r="H3" s="54">
        <f t="shared" ref="H3:H21" si="3">ABS(C3-(-17.63062454 + 5.404088204*D3))/C3</f>
        <v>5.6165003772703871E-2</v>
      </c>
      <c r="I3" s="54">
        <f t="shared" ref="I3:I21" si="4">ABS(C3-(-5.525287771 + 1.285489136*F3))/C3</f>
        <v>3.6005238981029843E-2</v>
      </c>
      <c r="J3" s="54">
        <f t="shared" ref="J3:J21" si="5">ABS(C3-(EXP(-2.592513354)*(B3^0.995437033)))/C3</f>
        <v>5.2131843561762124E-6</v>
      </c>
      <c r="L3" s="44" t="s">
        <v>60</v>
      </c>
      <c r="M3" s="68" t="s">
        <v>61</v>
      </c>
      <c r="N3" s="68"/>
      <c r="O3" s="69" t="s">
        <v>62</v>
      </c>
      <c r="P3" s="69"/>
      <c r="Q3" s="69" t="s">
        <v>63</v>
      </c>
      <c r="R3" s="69"/>
    </row>
    <row r="4" spans="1:18">
      <c r="A4" s="44">
        <v>3</v>
      </c>
      <c r="B4" s="44">
        <v>50.38</v>
      </c>
      <c r="C4" s="54">
        <v>3.73</v>
      </c>
      <c r="D4" s="54">
        <f t="shared" si="0"/>
        <v>3.9195942709244642</v>
      </c>
      <c r="E4" s="54">
        <f t="shared" si="0"/>
        <v>1.3164082336557241</v>
      </c>
      <c r="F4" s="54">
        <f t="shared" si="1"/>
        <v>7.0978870095261453</v>
      </c>
      <c r="G4" s="54">
        <f t="shared" si="2"/>
        <v>2.0456464477211715E-2</v>
      </c>
      <c r="H4" s="54">
        <f t="shared" si="3"/>
        <v>4.7933344780462302E-2</v>
      </c>
      <c r="I4" s="54">
        <f t="shared" si="4"/>
        <v>3.5128989731531522E-2</v>
      </c>
      <c r="J4" s="54">
        <f t="shared" si="5"/>
        <v>7.1863498504515727E-3</v>
      </c>
      <c r="L4" s="44" t="s">
        <v>64</v>
      </c>
      <c r="M4" s="68" t="s">
        <v>65</v>
      </c>
      <c r="N4" s="68"/>
      <c r="O4" s="69" t="s">
        <v>66</v>
      </c>
      <c r="P4" s="69"/>
      <c r="Q4" s="69" t="s">
        <v>67</v>
      </c>
      <c r="R4" s="69"/>
    </row>
    <row r="5" spans="1:18">
      <c r="A5" s="44">
        <v>4</v>
      </c>
      <c r="B5" s="44">
        <v>52.49</v>
      </c>
      <c r="C5" s="54">
        <v>3.7</v>
      </c>
      <c r="D5" s="54">
        <f t="shared" si="0"/>
        <v>3.9606226752642084</v>
      </c>
      <c r="E5" s="54">
        <f t="shared" si="0"/>
        <v>1.3083328196501789</v>
      </c>
      <c r="F5" s="54">
        <f t="shared" si="1"/>
        <v>7.2449982746719828</v>
      </c>
      <c r="G5" s="54">
        <f t="shared" si="2"/>
        <v>3.050897979729731E-2</v>
      </c>
      <c r="H5" s="54">
        <f t="shared" si="3"/>
        <v>1.9710740510873029E-2</v>
      </c>
      <c r="I5" s="54">
        <f t="shared" si="4"/>
        <v>2.3805081467453307E-2</v>
      </c>
      <c r="J5" s="54">
        <f t="shared" si="5"/>
        <v>4.2586151961273126E-2</v>
      </c>
      <c r="L5" s="44" t="s">
        <v>68</v>
      </c>
      <c r="M5" s="68" t="s">
        <v>69</v>
      </c>
      <c r="N5" s="68"/>
      <c r="O5" s="69" t="s">
        <v>70</v>
      </c>
      <c r="P5" s="69"/>
      <c r="Q5" s="70" t="s">
        <v>71</v>
      </c>
      <c r="R5" s="70"/>
    </row>
    <row r="6" spans="1:18">
      <c r="A6" s="44">
        <v>5</v>
      </c>
      <c r="B6" s="44">
        <v>54.23</v>
      </c>
      <c r="C6" s="54">
        <v>4.2</v>
      </c>
      <c r="D6" s="54">
        <f t="shared" si="0"/>
        <v>3.9932342608529692</v>
      </c>
      <c r="E6" s="54">
        <f t="shared" si="0"/>
        <v>1.4350845252893227</v>
      </c>
      <c r="F6" s="54">
        <f t="shared" si="1"/>
        <v>7.3641021177058645</v>
      </c>
      <c r="G6" s="54">
        <f t="shared" si="2"/>
        <v>6.0915486011904905E-2</v>
      </c>
      <c r="H6" s="54">
        <f t="shared" si="3"/>
        <v>5.9722470265669618E-2</v>
      </c>
      <c r="I6" s="54">
        <f t="shared" si="4"/>
        <v>6.1622500546314039E-2</v>
      </c>
      <c r="J6" s="54">
        <f t="shared" si="5"/>
        <v>5.1225962468715761E-2</v>
      </c>
      <c r="L6" s="44" t="s">
        <v>72</v>
      </c>
      <c r="M6" s="68" t="s">
        <v>73</v>
      </c>
      <c r="N6" s="68"/>
      <c r="O6" s="69" t="s">
        <v>74</v>
      </c>
      <c r="P6" s="69"/>
      <c r="Q6" s="70" t="s">
        <v>75</v>
      </c>
      <c r="R6" s="70"/>
    </row>
    <row r="7" spans="1:18">
      <c r="A7" s="44">
        <v>6</v>
      </c>
      <c r="B7" s="44">
        <v>58.08</v>
      </c>
      <c r="C7" s="54">
        <v>4.26</v>
      </c>
      <c r="D7" s="54">
        <f t="shared" si="0"/>
        <v>4.0618213705165402</v>
      </c>
      <c r="E7" s="54">
        <f t="shared" si="0"/>
        <v>1.4492691602812791</v>
      </c>
      <c r="F7" s="54">
        <f t="shared" si="1"/>
        <v>7.6210235533030604</v>
      </c>
      <c r="G7" s="54">
        <f t="shared" si="2"/>
        <v>5.9595000000000186E-3</v>
      </c>
      <c r="H7" s="54">
        <f t="shared" si="3"/>
        <v>1.4041412010222449E-2</v>
      </c>
      <c r="I7" s="54">
        <f t="shared" si="4"/>
        <v>2.6890168946481813E-3</v>
      </c>
      <c r="J7" s="54">
        <f t="shared" si="5"/>
        <v>1.5060322909869392E-3</v>
      </c>
      <c r="L7" s="55"/>
      <c r="M7" s="55"/>
      <c r="N7" s="36"/>
      <c r="O7" s="36"/>
      <c r="P7" s="36"/>
      <c r="Q7" s="36"/>
      <c r="R7" s="36"/>
    </row>
    <row r="8" spans="1:18">
      <c r="A8" s="44">
        <v>7</v>
      </c>
      <c r="B8" s="44">
        <v>61.63</v>
      </c>
      <c r="C8" s="54">
        <v>4.42</v>
      </c>
      <c r="D8" s="54">
        <f t="shared" si="0"/>
        <v>4.1211487649741514</v>
      </c>
      <c r="E8" s="54">
        <f t="shared" si="0"/>
        <v>1.4861396960896067</v>
      </c>
      <c r="F8" s="54">
        <f t="shared" si="1"/>
        <v>7.8504776924719684</v>
      </c>
      <c r="G8" s="54">
        <f t="shared" si="2"/>
        <v>1.8650914875565749E-2</v>
      </c>
      <c r="H8" s="54">
        <f t="shared" si="3"/>
        <v>4.987033658958815E-2</v>
      </c>
      <c r="I8" s="54">
        <f t="shared" si="4"/>
        <v>3.3125795267661538E-2</v>
      </c>
      <c r="J8" s="54">
        <f t="shared" si="5"/>
        <v>2.3973911321713528E-2</v>
      </c>
      <c r="L8" s="55"/>
      <c r="M8" s="55"/>
      <c r="N8" s="36"/>
      <c r="O8" s="36"/>
      <c r="P8" s="36"/>
      <c r="Q8" s="36"/>
      <c r="R8" s="36"/>
    </row>
    <row r="9" spans="1:18">
      <c r="A9" s="44">
        <v>8</v>
      </c>
      <c r="B9" s="44">
        <v>64.680000000000007</v>
      </c>
      <c r="C9" s="54">
        <v>5</v>
      </c>
      <c r="D9" s="54">
        <f t="shared" si="0"/>
        <v>4.1694520347089066</v>
      </c>
      <c r="E9" s="54">
        <f t="shared" si="0"/>
        <v>1.6094379124341003</v>
      </c>
      <c r="F9" s="54">
        <f t="shared" si="1"/>
        <v>8.0423877051532404</v>
      </c>
      <c r="G9" s="54">
        <f t="shared" si="2"/>
        <v>5.3492040999999976E-2</v>
      </c>
      <c r="H9" s="54">
        <f t="shared" si="3"/>
        <v>1.970759641716029E-2</v>
      </c>
      <c r="I9" s="54">
        <f t="shared" si="4"/>
        <v>3.7377149705107728E-2</v>
      </c>
      <c r="J9" s="54">
        <f t="shared" si="5"/>
        <v>5.0219433564516261E-2</v>
      </c>
      <c r="L9" s="55"/>
      <c r="M9" s="55"/>
      <c r="N9" s="36"/>
      <c r="O9" s="36"/>
      <c r="P9" s="36"/>
      <c r="Q9" s="36"/>
      <c r="R9" s="36"/>
    </row>
    <row r="10" spans="1:18">
      <c r="A10" s="44">
        <v>9</v>
      </c>
      <c r="B10" s="44">
        <v>67.349999999999994</v>
      </c>
      <c r="C10" s="54">
        <v>4.6900000000000004</v>
      </c>
      <c r="D10" s="54">
        <f t="shared" si="0"/>
        <v>4.2099029028563733</v>
      </c>
      <c r="E10" s="54">
        <f t="shared" si="0"/>
        <v>1.545432582458188</v>
      </c>
      <c r="F10" s="54">
        <f t="shared" si="1"/>
        <v>8.2067045761377315</v>
      </c>
      <c r="G10" s="54">
        <f t="shared" si="2"/>
        <v>5.2020044083155512E-2</v>
      </c>
      <c r="H10" s="54">
        <f t="shared" si="3"/>
        <v>9.1697671068546649E-2</v>
      </c>
      <c r="I10" s="54">
        <f t="shared" si="4"/>
        <v>7.1288231127193791E-2</v>
      </c>
      <c r="J10" s="54">
        <f t="shared" si="5"/>
        <v>5.4163243786435063E-2</v>
      </c>
      <c r="L10" s="36"/>
      <c r="M10" s="36"/>
      <c r="N10" s="36"/>
      <c r="O10" s="36"/>
      <c r="P10" s="36"/>
      <c r="Q10" s="36"/>
      <c r="R10" s="36"/>
    </row>
    <row r="11" spans="1:18">
      <c r="A11" s="44">
        <v>10</v>
      </c>
      <c r="B11" s="44">
        <v>70.13</v>
      </c>
      <c r="C11" s="54">
        <v>5.3</v>
      </c>
      <c r="D11" s="54">
        <f t="shared" si="0"/>
        <v>4.2503506625488194</v>
      </c>
      <c r="E11" s="54">
        <f t="shared" si="0"/>
        <v>1.6677068205580761</v>
      </c>
      <c r="F11" s="54">
        <f t="shared" si="1"/>
        <v>8.3743656476177346</v>
      </c>
      <c r="G11" s="54">
        <f t="shared" si="2"/>
        <v>2.9489244103773616E-2</v>
      </c>
      <c r="H11" s="54">
        <f t="shared" si="3"/>
        <v>7.2915732723887669E-3</v>
      </c>
      <c r="I11" s="54">
        <f t="shared" si="4"/>
        <v>1.1345605678452513E-2</v>
      </c>
      <c r="J11" s="54">
        <f t="shared" si="5"/>
        <v>2.8839685474602784E-2</v>
      </c>
      <c r="L11" s="36"/>
      <c r="M11" s="36"/>
      <c r="N11" s="36"/>
      <c r="O11" s="36"/>
      <c r="P11" s="36"/>
      <c r="Q11" s="36"/>
      <c r="R11" s="36"/>
    </row>
    <row r="12" spans="1:18">
      <c r="A12" s="44">
        <v>11</v>
      </c>
      <c r="B12" s="44">
        <v>81.03</v>
      </c>
      <c r="C12" s="54">
        <v>5.54</v>
      </c>
      <c r="D12" s="54">
        <f t="shared" si="0"/>
        <v>4.3948194564726339</v>
      </c>
      <c r="E12" s="54">
        <f t="shared" si="0"/>
        <v>1.7119945007591924</v>
      </c>
      <c r="F12" s="54">
        <f t="shared" si="1"/>
        <v>9.0016665123742499</v>
      </c>
      <c r="G12" s="54">
        <f t="shared" si="2"/>
        <v>7.6902784972924118E-2</v>
      </c>
      <c r="H12" s="54">
        <f t="shared" si="3"/>
        <v>0.10457896090856504</v>
      </c>
      <c r="I12" s="54">
        <f t="shared" si="4"/>
        <v>9.1382082410127755E-2</v>
      </c>
      <c r="J12" s="54">
        <f t="shared" si="5"/>
        <v>7.2785123132044507E-2</v>
      </c>
      <c r="L12" s="56"/>
      <c r="M12" s="56"/>
      <c r="N12" s="56"/>
      <c r="O12" s="56"/>
      <c r="P12" s="56"/>
      <c r="Q12" s="36"/>
      <c r="R12" s="36"/>
    </row>
    <row r="13" spans="1:18">
      <c r="A13" s="44">
        <v>12</v>
      </c>
      <c r="B13" s="44">
        <v>86.53</v>
      </c>
      <c r="C13" s="54">
        <v>5.93</v>
      </c>
      <c r="D13" s="54">
        <f t="shared" si="0"/>
        <v>4.4604911746186477</v>
      </c>
      <c r="E13" s="54">
        <f t="shared" si="0"/>
        <v>1.780024213009634</v>
      </c>
      <c r="F13" s="54">
        <f t="shared" si="1"/>
        <v>9.302150289046077</v>
      </c>
      <c r="G13" s="54">
        <f t="shared" si="2"/>
        <v>7.6050727866779161E-2</v>
      </c>
      <c r="H13" s="54">
        <f t="shared" si="3"/>
        <v>9.1781315481068951E-2</v>
      </c>
      <c r="I13" s="54">
        <f t="shared" si="4"/>
        <v>8.4742894942325855E-2</v>
      </c>
      <c r="J13" s="54">
        <f t="shared" si="5"/>
        <v>6.9937818865578552E-2</v>
      </c>
      <c r="L13" s="55"/>
      <c r="M13" s="55"/>
      <c r="N13" s="55"/>
      <c r="O13" s="55"/>
      <c r="P13" s="55"/>
      <c r="Q13" s="36"/>
      <c r="R13" s="36"/>
    </row>
    <row r="14" spans="1:18">
      <c r="A14" s="44">
        <v>13</v>
      </c>
      <c r="B14" s="44">
        <v>85.84</v>
      </c>
      <c r="C14" s="54">
        <v>5.87</v>
      </c>
      <c r="D14" s="54">
        <f t="shared" si="0"/>
        <v>4.4524850983224429</v>
      </c>
      <c r="E14" s="54">
        <f t="shared" si="0"/>
        <v>1.7698546338400052</v>
      </c>
      <c r="F14" s="54">
        <f t="shared" si="1"/>
        <v>9.2649878575203761</v>
      </c>
      <c r="G14" s="54">
        <f t="shared" si="2"/>
        <v>7.8181394207836402E-2</v>
      </c>
      <c r="H14" s="54">
        <f t="shared" si="3"/>
        <v>9.5570299545160511E-2</v>
      </c>
      <c r="I14" s="54">
        <f t="shared" si="4"/>
        <v>8.7692242762241773E-2</v>
      </c>
      <c r="J14" s="54">
        <f t="shared" si="5"/>
        <v>7.2294310034046141E-2</v>
      </c>
      <c r="L14" s="55"/>
      <c r="M14" s="55"/>
      <c r="N14" s="55"/>
      <c r="O14" s="55"/>
      <c r="P14" s="55"/>
      <c r="Q14" s="36"/>
      <c r="R14" s="36"/>
    </row>
    <row r="15" spans="1:18">
      <c r="A15" s="44">
        <v>14</v>
      </c>
      <c r="B15" s="44">
        <v>87.58</v>
      </c>
      <c r="C15" s="54">
        <v>6.5</v>
      </c>
      <c r="D15" s="54">
        <f t="shared" si="0"/>
        <v>4.4725526613732525</v>
      </c>
      <c r="E15" s="54">
        <f t="shared" si="0"/>
        <v>1.8718021769015913</v>
      </c>
      <c r="F15" s="54">
        <f t="shared" si="1"/>
        <v>9.3584186698394731</v>
      </c>
      <c r="G15" s="54">
        <f t="shared" si="2"/>
        <v>6.12361269230769E-3</v>
      </c>
      <c r="H15" s="54">
        <f t="shared" si="3"/>
        <v>6.0683906301537589E-3</v>
      </c>
      <c r="I15" s="54">
        <f t="shared" si="4"/>
        <v>7.4734757203278094E-4</v>
      </c>
      <c r="J15" s="54">
        <f t="shared" si="5"/>
        <v>1.2097212928872491E-2</v>
      </c>
      <c r="L15" s="55"/>
      <c r="M15" s="55"/>
      <c r="N15" s="55"/>
      <c r="O15" s="55"/>
      <c r="P15" s="55"/>
      <c r="Q15" s="36"/>
      <c r="R15" s="36"/>
    </row>
    <row r="16" spans="1:18">
      <c r="A16" s="44">
        <v>15</v>
      </c>
      <c r="B16" s="44">
        <v>90.68</v>
      </c>
      <c r="C16" s="54">
        <v>6.38</v>
      </c>
      <c r="D16" s="54">
        <f t="shared" si="0"/>
        <v>4.507336825639328</v>
      </c>
      <c r="E16" s="54">
        <f t="shared" si="0"/>
        <v>1.8531680973566984</v>
      </c>
      <c r="F16" s="54">
        <f t="shared" si="1"/>
        <v>9.5226046856939313</v>
      </c>
      <c r="G16" s="54">
        <f t="shared" si="2"/>
        <v>4.9227499216301041E-2</v>
      </c>
      <c r="H16" s="54">
        <f t="shared" si="3"/>
        <v>5.4454738384372578E-2</v>
      </c>
      <c r="I16" s="54">
        <f t="shared" si="4"/>
        <v>5.2651582896903443E-2</v>
      </c>
      <c r="J16" s="54">
        <f t="shared" si="5"/>
        <v>4.1944360517559127E-2</v>
      </c>
      <c r="L16" s="36"/>
      <c r="M16" s="36"/>
      <c r="N16" s="36"/>
      <c r="O16" s="36"/>
      <c r="P16" s="36"/>
      <c r="Q16" s="36"/>
      <c r="R16" s="36"/>
    </row>
    <row r="17" spans="1:18">
      <c r="A17" s="44">
        <v>16</v>
      </c>
      <c r="B17" s="44">
        <v>94.29</v>
      </c>
      <c r="C17" s="54">
        <v>6.75</v>
      </c>
      <c r="D17" s="54">
        <f t="shared" si="0"/>
        <v>4.5463751394775862</v>
      </c>
      <c r="E17" s="54">
        <f t="shared" si="0"/>
        <v>1.9095425048844386</v>
      </c>
      <c r="F17" s="54">
        <f t="shared" si="1"/>
        <v>9.7103038057519093</v>
      </c>
      <c r="G17" s="54">
        <f t="shared" si="2"/>
        <v>3.2062603000000099E-2</v>
      </c>
      <c r="H17" s="54">
        <f t="shared" si="3"/>
        <v>2.7909292179211741E-2</v>
      </c>
      <c r="I17" s="54">
        <f t="shared" si="4"/>
        <v>3.0696633859782899E-2</v>
      </c>
      <c r="J17" s="54">
        <f t="shared" si="5"/>
        <v>2.3854391660066858E-2</v>
      </c>
      <c r="L17" s="56"/>
      <c r="M17" s="56"/>
      <c r="N17" s="56"/>
      <c r="O17" s="56"/>
      <c r="P17" s="56"/>
      <c r="Q17" s="36"/>
      <c r="R17" s="36"/>
    </row>
    <row r="18" spans="1:18">
      <c r="A18" s="44">
        <v>17</v>
      </c>
      <c r="B18" s="44">
        <v>98.88</v>
      </c>
      <c r="C18" s="54">
        <v>7.36</v>
      </c>
      <c r="D18" s="54">
        <f t="shared" si="0"/>
        <v>4.5939069937093802</v>
      </c>
      <c r="E18" s="54">
        <f t="shared" si="0"/>
        <v>1.9960599327407849</v>
      </c>
      <c r="F18" s="54">
        <f t="shared" si="1"/>
        <v>9.9438423157248419</v>
      </c>
      <c r="G18" s="54">
        <f t="shared" si="2"/>
        <v>6.4254959239131663E-3</v>
      </c>
      <c r="H18" s="54">
        <f t="shared" si="3"/>
        <v>2.2383959921472598E-2</v>
      </c>
      <c r="I18" s="54">
        <f t="shared" si="4"/>
        <v>1.3938383700901419E-2</v>
      </c>
      <c r="J18" s="54">
        <f t="shared" si="5"/>
        <v>1.5506653368132457E-2</v>
      </c>
      <c r="L18" s="55"/>
      <c r="M18" s="55"/>
      <c r="N18" s="55"/>
      <c r="O18" s="55"/>
      <c r="P18" s="55"/>
      <c r="Q18" s="36"/>
      <c r="R18" s="36"/>
    </row>
    <row r="19" spans="1:18">
      <c r="A19" s="44">
        <v>18</v>
      </c>
      <c r="B19" s="44">
        <v>101.55</v>
      </c>
      <c r="C19" s="54">
        <v>7.6</v>
      </c>
      <c r="D19" s="54">
        <f t="shared" si="0"/>
        <v>4.6205512880263937</v>
      </c>
      <c r="E19" s="54">
        <f t="shared" si="0"/>
        <v>2.0281482472922852</v>
      </c>
      <c r="F19" s="54">
        <f t="shared" si="1"/>
        <v>10.0772019926168</v>
      </c>
      <c r="G19" s="54">
        <f t="shared" si="2"/>
        <v>1.1297031348684171E-2</v>
      </c>
      <c r="H19" s="54">
        <f t="shared" si="3"/>
        <v>3.4310240578889532E-2</v>
      </c>
      <c r="I19" s="54">
        <f t="shared" si="4"/>
        <v>2.2520274764941003E-2</v>
      </c>
      <c r="J19" s="54">
        <f t="shared" si="5"/>
        <v>2.0970727328580678E-2</v>
      </c>
      <c r="L19" s="55"/>
      <c r="M19" s="55"/>
      <c r="N19" s="55"/>
      <c r="O19" s="55"/>
      <c r="P19" s="55"/>
      <c r="Q19" s="36"/>
      <c r="R19" s="36"/>
    </row>
    <row r="20" spans="1:18">
      <c r="A20" s="44">
        <v>19</v>
      </c>
      <c r="B20" s="44">
        <v>102.16</v>
      </c>
      <c r="C20" s="54">
        <v>7.9</v>
      </c>
      <c r="D20" s="54">
        <f t="shared" si="0"/>
        <v>4.6265402117242838</v>
      </c>
      <c r="E20" s="54">
        <f t="shared" si="0"/>
        <v>2.066862759472976</v>
      </c>
      <c r="F20" s="54">
        <f t="shared" si="1"/>
        <v>10.107423014794621</v>
      </c>
      <c r="G20" s="54">
        <f t="shared" si="2"/>
        <v>4.3017327594936788E-2</v>
      </c>
      <c r="H20" s="54">
        <f t="shared" si="3"/>
        <v>6.6885209682169086E-2</v>
      </c>
      <c r="I20" s="54">
        <f t="shared" si="4"/>
        <v>5.472218892723376E-2</v>
      </c>
      <c r="J20" s="54">
        <f t="shared" si="5"/>
        <v>5.2517348597826238E-2</v>
      </c>
      <c r="L20" s="36"/>
      <c r="M20" s="36"/>
      <c r="N20" s="36"/>
      <c r="O20" s="36"/>
      <c r="P20" s="36"/>
      <c r="Q20" s="36"/>
      <c r="R20" s="36"/>
    </row>
    <row r="21" spans="1:18">
      <c r="A21" s="44">
        <v>20</v>
      </c>
      <c r="B21" s="44">
        <v>104.93</v>
      </c>
      <c r="C21" s="54">
        <v>8.5</v>
      </c>
      <c r="D21" s="54">
        <f t="shared" si="0"/>
        <v>4.6532934611698193</v>
      </c>
      <c r="E21" s="54">
        <f t="shared" si="0"/>
        <v>2.1400661634962708</v>
      </c>
      <c r="F21" s="54">
        <f t="shared" si="1"/>
        <v>10.243534546239399</v>
      </c>
      <c r="G21" s="54">
        <f t="shared" si="2"/>
        <v>8.5983332205882321E-2</v>
      </c>
      <c r="H21" s="54">
        <f t="shared" si="3"/>
        <v>0.11574308667551157</v>
      </c>
      <c r="I21" s="54">
        <f t="shared" si="4"/>
        <v>0.1008629879492428</v>
      </c>
      <c r="J21" s="54">
        <f t="shared" si="5"/>
        <v>9.5631962968573764E-2</v>
      </c>
      <c r="L21" s="36"/>
      <c r="M21" s="36"/>
      <c r="N21" s="36"/>
      <c r="O21" s="36"/>
      <c r="P21" s="36"/>
      <c r="Q21" s="36"/>
      <c r="R21" s="36"/>
    </row>
    <row r="22" spans="1:18">
      <c r="A22" s="36"/>
      <c r="B22" s="36"/>
      <c r="C22" s="36"/>
      <c r="D22" s="36"/>
      <c r="E22" s="36"/>
      <c r="F22" s="36"/>
      <c r="G22" s="57">
        <f>AVERAGE(G2:G21)</f>
        <v>4.0652585895931952E-2</v>
      </c>
      <c r="H22" s="57">
        <f t="shared" ref="H22:J22" si="6">AVERAGE(H2:H21)</f>
        <v>5.4881706899834702E-2</v>
      </c>
      <c r="I22" s="57">
        <f t="shared" si="6"/>
        <v>4.6967770744478832E-2</v>
      </c>
      <c r="J22" s="57">
        <f t="shared" si="6"/>
        <v>3.9202348716193901E-2</v>
      </c>
      <c r="L22" s="36"/>
      <c r="M22" s="36"/>
      <c r="N22" s="36"/>
      <c r="O22" s="36"/>
      <c r="P22" s="36"/>
      <c r="Q22" s="36"/>
      <c r="R22" s="36"/>
    </row>
    <row r="23" spans="1:18">
      <c r="G23" s="58"/>
      <c r="H23" s="58"/>
      <c r="I23" s="58"/>
      <c r="J23" s="58"/>
      <c r="L23" s="36"/>
      <c r="M23" s="36"/>
      <c r="N23" s="36"/>
      <c r="O23" s="36"/>
      <c r="P23" s="36"/>
      <c r="Q23" s="36"/>
      <c r="R23" s="36"/>
    </row>
    <row r="24" spans="1:18">
      <c r="A24" s="59"/>
      <c r="B24" s="59"/>
      <c r="C24" s="59"/>
      <c r="D24" s="59"/>
      <c r="E24" s="59"/>
      <c r="F24" s="59"/>
      <c r="G24" s="60"/>
      <c r="H24" s="60"/>
      <c r="I24" s="60"/>
      <c r="J24" s="60"/>
      <c r="L24" s="36"/>
      <c r="M24" s="36"/>
      <c r="N24" s="36"/>
      <c r="O24" s="36"/>
      <c r="P24" s="36"/>
      <c r="Q24" s="36"/>
      <c r="R24" s="36"/>
    </row>
    <row r="25" spans="1:18" ht="18">
      <c r="A25" s="55"/>
      <c r="B25" s="55"/>
      <c r="C25" s="55"/>
      <c r="D25" s="55"/>
      <c r="E25" s="61"/>
      <c r="F25" s="61"/>
      <c r="G25" s="61"/>
      <c r="H25" s="61"/>
      <c r="I25" s="61"/>
      <c r="J25" s="61"/>
      <c r="K25" s="59"/>
      <c r="L25" s="36"/>
      <c r="M25" s="36"/>
      <c r="N25" s="36"/>
      <c r="O25" s="36"/>
      <c r="P25" s="36"/>
      <c r="Q25" s="36"/>
      <c r="R25" s="36"/>
    </row>
    <row r="26" spans="1:18">
      <c r="H26" s="36"/>
      <c r="I26" s="36"/>
      <c r="J26" s="36"/>
      <c r="K26" s="59"/>
      <c r="L26" s="62"/>
      <c r="M26" s="62"/>
      <c r="N26" s="36"/>
      <c r="O26" s="36"/>
      <c r="P26" s="36"/>
      <c r="Q26" s="36"/>
      <c r="R26" s="36"/>
    </row>
    <row r="27" spans="1:18">
      <c r="H27" s="36"/>
      <c r="I27" s="36"/>
      <c r="J27" s="36"/>
      <c r="K27" s="59"/>
      <c r="L27" s="55"/>
      <c r="M27" s="55"/>
      <c r="N27" s="36"/>
      <c r="O27" s="36"/>
      <c r="P27" s="36"/>
      <c r="Q27" s="36"/>
      <c r="R27" s="36"/>
    </row>
    <row r="28" spans="1:18">
      <c r="H28" s="36"/>
      <c r="I28" s="36"/>
      <c r="J28" s="36"/>
      <c r="K28" s="59"/>
      <c r="L28" s="55"/>
      <c r="M28" s="55"/>
      <c r="N28" s="36"/>
      <c r="O28" s="36"/>
      <c r="P28" s="36"/>
      <c r="Q28" s="36"/>
      <c r="R28" s="36"/>
    </row>
    <row r="29" spans="1:18">
      <c r="H29" s="36"/>
      <c r="I29" s="36"/>
      <c r="J29" s="36"/>
      <c r="K29" s="59"/>
      <c r="L29" s="55"/>
      <c r="M29" s="55"/>
      <c r="N29" s="36"/>
      <c r="O29" s="36"/>
      <c r="P29" s="36"/>
      <c r="Q29" s="36"/>
      <c r="R29" s="36"/>
    </row>
    <row r="30" spans="1:18">
      <c r="H30" s="36"/>
      <c r="I30" s="36"/>
      <c r="J30" s="36"/>
      <c r="K30" s="59"/>
      <c r="L30" s="55"/>
      <c r="M30" s="55"/>
      <c r="N30" s="36"/>
      <c r="O30" s="36"/>
      <c r="P30" s="36"/>
      <c r="Q30" s="36"/>
      <c r="R30" s="36"/>
    </row>
    <row r="31" spans="1:18">
      <c r="H31" s="36"/>
      <c r="I31" s="36"/>
      <c r="J31" s="36"/>
      <c r="K31" s="59"/>
      <c r="L31" s="55"/>
      <c r="M31" s="55"/>
      <c r="N31" s="36"/>
      <c r="O31" s="36"/>
      <c r="P31" s="36"/>
      <c r="Q31" s="36"/>
      <c r="R31" s="36"/>
    </row>
    <row r="32" spans="1:18">
      <c r="A32" s="36"/>
      <c r="B32" s="63"/>
      <c r="C32" s="63"/>
      <c r="D32" s="63"/>
      <c r="E32" s="63"/>
      <c r="F32" s="36"/>
      <c r="G32" s="36"/>
      <c r="H32" s="36"/>
      <c r="I32" s="36"/>
      <c r="J32" s="36"/>
      <c r="K32" s="59"/>
      <c r="L32" s="36"/>
      <c r="M32" s="36"/>
      <c r="N32" s="36"/>
      <c r="O32" s="36"/>
      <c r="P32" s="36"/>
      <c r="Q32" s="36"/>
      <c r="R32" s="36"/>
    </row>
    <row r="33" spans="1:18">
      <c r="A33" s="36"/>
      <c r="B33" s="63"/>
      <c r="C33" s="63"/>
      <c r="D33" s="63"/>
      <c r="E33" s="63"/>
      <c r="F33" s="36"/>
      <c r="G33" s="36"/>
      <c r="H33" s="36"/>
      <c r="I33" s="36"/>
      <c r="J33" s="36"/>
      <c r="K33" s="59"/>
      <c r="L33" s="36"/>
      <c r="M33" s="36"/>
      <c r="N33" s="36"/>
      <c r="O33" s="36"/>
      <c r="P33" s="36"/>
      <c r="Q33" s="36"/>
      <c r="R33" s="36"/>
    </row>
    <row r="34" spans="1:18">
      <c r="A34" s="36"/>
      <c r="B34" s="63"/>
      <c r="C34" s="63"/>
      <c r="D34" s="63"/>
      <c r="E34" s="63"/>
      <c r="F34" s="36"/>
      <c r="G34" s="36"/>
      <c r="H34" s="36"/>
      <c r="I34" s="36"/>
      <c r="J34" s="36"/>
      <c r="K34" s="59"/>
      <c r="L34" s="56"/>
      <c r="M34" s="56"/>
      <c r="N34" s="56"/>
      <c r="O34" s="56"/>
      <c r="P34" s="56"/>
      <c r="Q34" s="36"/>
      <c r="R34" s="36"/>
    </row>
    <row r="35" spans="1:18">
      <c r="A35" s="36"/>
      <c r="B35" s="63"/>
      <c r="C35" s="63"/>
      <c r="D35" s="63"/>
      <c r="E35" s="63"/>
      <c r="F35" s="36"/>
      <c r="G35" s="36"/>
      <c r="H35" s="36"/>
      <c r="I35" s="36"/>
      <c r="J35" s="36"/>
      <c r="K35" s="59"/>
      <c r="L35" s="55"/>
      <c r="M35" s="55"/>
      <c r="N35" s="55"/>
      <c r="O35" s="55"/>
      <c r="P35" s="55"/>
      <c r="Q35" s="36"/>
      <c r="R35" s="36"/>
    </row>
    <row r="36" spans="1:18">
      <c r="A36" s="36"/>
      <c r="B36" s="63"/>
      <c r="C36" s="63"/>
      <c r="D36" s="63"/>
      <c r="E36" s="63"/>
      <c r="F36" s="36"/>
      <c r="G36" s="36"/>
      <c r="H36" s="36"/>
      <c r="I36" s="36"/>
      <c r="J36" s="36"/>
      <c r="L36" s="55"/>
      <c r="M36" s="55"/>
      <c r="N36" s="55"/>
      <c r="O36" s="55"/>
      <c r="P36" s="55"/>
      <c r="Q36" s="36"/>
      <c r="R36" s="36"/>
    </row>
    <row r="37" spans="1:18">
      <c r="A37" s="36"/>
      <c r="B37" s="63"/>
      <c r="C37" s="63"/>
      <c r="D37" s="63"/>
      <c r="E37" s="63"/>
      <c r="F37" s="36"/>
      <c r="G37" s="36"/>
      <c r="H37" s="36"/>
      <c r="I37" s="36"/>
      <c r="J37" s="36"/>
      <c r="L37" s="55"/>
      <c r="M37" s="55"/>
      <c r="N37" s="55"/>
      <c r="O37" s="55"/>
      <c r="P37" s="55"/>
      <c r="Q37" s="36"/>
      <c r="R37" s="36"/>
    </row>
    <row r="38" spans="1:18">
      <c r="A38" s="36"/>
      <c r="B38" s="63"/>
      <c r="C38" s="63"/>
      <c r="D38" s="63"/>
      <c r="E38" s="63"/>
      <c r="F38" s="36"/>
      <c r="G38" s="36"/>
      <c r="H38" s="36"/>
      <c r="I38" s="36"/>
      <c r="J38" s="36"/>
      <c r="L38" s="36"/>
      <c r="M38" s="36"/>
      <c r="N38" s="36"/>
      <c r="O38" s="36"/>
      <c r="P38" s="36"/>
      <c r="Q38" s="36"/>
      <c r="R38" s="36"/>
    </row>
    <row r="39" spans="1:18">
      <c r="A39" s="36"/>
      <c r="B39" s="63"/>
      <c r="C39" s="63"/>
      <c r="D39" s="63"/>
      <c r="E39" s="63"/>
      <c r="F39" s="36"/>
      <c r="G39" s="36"/>
      <c r="H39" s="36"/>
      <c r="I39" s="36"/>
      <c r="J39" s="36"/>
      <c r="L39" s="56"/>
      <c r="M39" s="56"/>
      <c r="N39" s="56"/>
      <c r="O39" s="56"/>
      <c r="P39" s="56"/>
      <c r="Q39" s="36"/>
      <c r="R39" s="36"/>
    </row>
    <row r="40" spans="1:18">
      <c r="A40" s="36"/>
      <c r="B40" s="63"/>
      <c r="C40" s="63"/>
      <c r="D40" s="63"/>
      <c r="E40" s="63"/>
      <c r="F40" s="36"/>
      <c r="G40" s="36"/>
      <c r="H40" s="36"/>
      <c r="I40" s="36"/>
      <c r="J40" s="36"/>
      <c r="L40" s="55"/>
      <c r="M40" s="55"/>
      <c r="N40" s="55"/>
      <c r="O40" s="55"/>
      <c r="P40" s="55"/>
      <c r="Q40" s="36"/>
      <c r="R40" s="36"/>
    </row>
    <row r="41" spans="1:18">
      <c r="A41" s="36"/>
      <c r="B41" s="63"/>
      <c r="C41" s="63"/>
      <c r="D41" s="63"/>
      <c r="E41" s="63"/>
      <c r="F41" s="36"/>
      <c r="G41" s="36"/>
      <c r="H41" s="36"/>
      <c r="I41" s="36"/>
      <c r="J41" s="36"/>
      <c r="L41" s="55"/>
      <c r="M41" s="55"/>
      <c r="N41" s="55"/>
      <c r="O41" s="55"/>
      <c r="P41" s="55"/>
      <c r="Q41" s="36"/>
      <c r="R41" s="36"/>
    </row>
    <row r="42" spans="1:18">
      <c r="A42" s="36"/>
      <c r="B42" s="63"/>
      <c r="C42" s="63"/>
      <c r="D42" s="63"/>
      <c r="E42" s="63"/>
      <c r="F42" s="36"/>
      <c r="G42" s="36"/>
      <c r="H42" s="36"/>
      <c r="I42" s="36"/>
      <c r="J42" s="36"/>
      <c r="L42" s="36"/>
      <c r="M42" s="36"/>
      <c r="N42" s="36"/>
      <c r="O42" s="36"/>
      <c r="P42" s="36"/>
      <c r="Q42" s="36"/>
      <c r="R42" s="36"/>
    </row>
    <row r="43" spans="1:18">
      <c r="A43" s="36"/>
      <c r="B43" s="63"/>
      <c r="C43" s="63"/>
      <c r="D43" s="63"/>
      <c r="E43" s="63"/>
      <c r="F43" s="36"/>
      <c r="G43" s="36"/>
      <c r="H43" s="36"/>
      <c r="I43" s="36"/>
      <c r="J43" s="36"/>
      <c r="L43" s="36"/>
      <c r="M43" s="36"/>
      <c r="N43" s="36"/>
      <c r="O43" s="36"/>
      <c r="P43" s="36"/>
      <c r="Q43" s="36"/>
      <c r="R43" s="36"/>
    </row>
    <row r="44" spans="1:18">
      <c r="A44" s="36"/>
      <c r="B44" s="63"/>
      <c r="C44" s="63"/>
      <c r="D44" s="63"/>
      <c r="E44" s="63"/>
      <c r="F44" s="36"/>
      <c r="G44" s="36"/>
      <c r="H44" s="36"/>
      <c r="I44" s="36"/>
      <c r="J44" s="36"/>
      <c r="L44" s="36"/>
      <c r="M44" s="36"/>
      <c r="N44" s="36"/>
      <c r="O44" s="36"/>
      <c r="P44" s="36"/>
      <c r="Q44" s="36"/>
      <c r="R44" s="36"/>
    </row>
    <row r="45" spans="1:18">
      <c r="A45" s="36"/>
      <c r="B45" s="63"/>
      <c r="C45" s="63"/>
      <c r="D45" s="63"/>
      <c r="E45" s="63"/>
      <c r="F45" s="36"/>
      <c r="G45" s="36"/>
      <c r="H45" s="36"/>
      <c r="I45" s="36"/>
      <c r="J45" s="36"/>
      <c r="L45" s="62"/>
      <c r="M45" s="62"/>
      <c r="N45" s="36"/>
      <c r="O45" s="36"/>
      <c r="P45" s="36"/>
      <c r="Q45" s="36"/>
      <c r="R45" s="36"/>
    </row>
    <row r="46" spans="1:18">
      <c r="A46" s="36"/>
      <c r="B46" s="63"/>
      <c r="C46" s="63"/>
      <c r="D46" s="63"/>
      <c r="E46" s="63"/>
      <c r="F46" s="36"/>
      <c r="G46" s="36"/>
      <c r="H46" s="36"/>
      <c r="I46" s="36"/>
      <c r="J46" s="36"/>
      <c r="L46" s="55"/>
      <c r="M46" s="55"/>
      <c r="N46" s="36"/>
      <c r="O46" s="36"/>
      <c r="P46" s="36"/>
      <c r="Q46" s="36"/>
      <c r="R46" s="36"/>
    </row>
    <row r="47" spans="1:18">
      <c r="A47" s="36"/>
      <c r="B47" s="36"/>
      <c r="C47" s="36"/>
      <c r="D47" s="36"/>
      <c r="E47" s="36"/>
      <c r="F47" s="36"/>
      <c r="G47" s="36"/>
      <c r="H47" s="36"/>
      <c r="I47" s="36"/>
      <c r="J47" s="36"/>
      <c r="L47" s="55"/>
      <c r="M47" s="55"/>
      <c r="N47" s="36"/>
      <c r="O47" s="36"/>
      <c r="P47" s="36"/>
      <c r="Q47" s="36"/>
      <c r="R47" s="36"/>
    </row>
    <row r="48" spans="1:18">
      <c r="A48" s="36"/>
      <c r="B48" s="36"/>
      <c r="C48" s="36"/>
      <c r="D48" s="36"/>
      <c r="E48" s="36"/>
      <c r="F48" s="36"/>
      <c r="G48" s="36"/>
      <c r="H48" s="36"/>
      <c r="I48" s="36"/>
      <c r="J48" s="36"/>
      <c r="L48" s="55"/>
      <c r="M48" s="55"/>
      <c r="N48" s="36"/>
      <c r="O48" s="36"/>
      <c r="P48" s="36"/>
      <c r="Q48" s="36"/>
      <c r="R48" s="36"/>
    </row>
    <row r="49" spans="1:18">
      <c r="A49" s="36"/>
      <c r="B49" s="36"/>
      <c r="C49" s="36"/>
      <c r="D49" s="36"/>
      <c r="E49" s="36"/>
      <c r="F49" s="36"/>
      <c r="G49" s="36"/>
      <c r="H49" s="36"/>
      <c r="I49" s="36"/>
      <c r="J49" s="36"/>
      <c r="L49" s="55"/>
      <c r="M49" s="55"/>
      <c r="N49" s="36"/>
      <c r="O49" s="36"/>
      <c r="P49" s="36"/>
      <c r="Q49" s="36"/>
      <c r="R49" s="36"/>
    </row>
    <row r="50" spans="1:18">
      <c r="A50" s="36"/>
      <c r="B50" s="36"/>
      <c r="C50" s="36"/>
      <c r="D50" s="36"/>
      <c r="E50" s="36"/>
      <c r="F50" s="36"/>
      <c r="G50" s="36"/>
      <c r="H50" s="36"/>
      <c r="I50" s="36"/>
      <c r="J50" s="36"/>
      <c r="L50" s="55"/>
      <c r="M50" s="55"/>
      <c r="N50" s="36"/>
      <c r="O50" s="36"/>
      <c r="P50" s="36"/>
      <c r="Q50" s="36"/>
      <c r="R50" s="36"/>
    </row>
    <row r="51" spans="1:18">
      <c r="A51" s="36"/>
      <c r="B51" s="36"/>
      <c r="C51" s="36"/>
      <c r="D51" s="36"/>
      <c r="E51" s="36"/>
      <c r="F51" s="36"/>
      <c r="G51" s="36"/>
      <c r="H51" s="36"/>
      <c r="I51" s="36"/>
      <c r="J51" s="36"/>
      <c r="L51" s="36"/>
      <c r="M51" s="36"/>
      <c r="N51" s="36"/>
      <c r="O51" s="36"/>
      <c r="P51" s="36"/>
      <c r="Q51" s="36"/>
      <c r="R51" s="36"/>
    </row>
    <row r="52" spans="1:18">
      <c r="A52" s="36"/>
      <c r="B52" s="36"/>
      <c r="C52" s="36"/>
      <c r="D52" s="36"/>
      <c r="E52" s="36"/>
      <c r="F52" s="36"/>
      <c r="G52" s="36"/>
      <c r="H52" s="36"/>
      <c r="I52" s="36"/>
      <c r="J52" s="36"/>
      <c r="L52" s="36"/>
      <c r="M52" s="36"/>
      <c r="N52" s="36"/>
      <c r="O52" s="36"/>
      <c r="P52" s="36"/>
      <c r="Q52" s="36"/>
      <c r="R52" s="36"/>
    </row>
    <row r="53" spans="1:18">
      <c r="A53" s="36"/>
      <c r="B53" s="36"/>
      <c r="C53" s="36"/>
      <c r="D53" s="36"/>
      <c r="E53" s="36"/>
      <c r="F53" s="36"/>
      <c r="G53" s="36"/>
      <c r="H53" s="36"/>
      <c r="I53" s="36"/>
      <c r="J53" s="36"/>
      <c r="L53" s="56"/>
      <c r="M53" s="56"/>
      <c r="N53" s="56"/>
      <c r="O53" s="56"/>
      <c r="P53" s="56"/>
      <c r="Q53" s="36"/>
      <c r="R53" s="36"/>
    </row>
    <row r="54" spans="1:18">
      <c r="A54" s="36"/>
      <c r="B54" s="36"/>
      <c r="C54" s="36"/>
      <c r="D54" s="36"/>
      <c r="E54" s="36"/>
      <c r="F54" s="36"/>
      <c r="G54" s="36"/>
      <c r="H54" s="36"/>
      <c r="I54" s="36"/>
      <c r="J54" s="36"/>
      <c r="L54" s="55"/>
      <c r="M54" s="55"/>
      <c r="N54" s="55"/>
      <c r="O54" s="55"/>
      <c r="P54" s="55"/>
      <c r="Q54" s="36"/>
      <c r="R54" s="36"/>
    </row>
    <row r="55" spans="1:18">
      <c r="A55" s="36"/>
      <c r="B55" s="36"/>
      <c r="C55" s="36"/>
      <c r="D55" s="36"/>
      <c r="E55" s="36"/>
      <c r="F55" s="36"/>
      <c r="G55" s="36"/>
      <c r="H55" s="36"/>
      <c r="I55" s="36"/>
      <c r="J55" s="36"/>
      <c r="L55" s="55"/>
      <c r="M55" s="55"/>
      <c r="N55" s="55"/>
      <c r="O55" s="55"/>
      <c r="P55" s="55"/>
      <c r="Q55" s="36"/>
      <c r="R55" s="36"/>
    </row>
    <row r="56" spans="1:18">
      <c r="A56" s="36"/>
      <c r="B56" s="36"/>
      <c r="C56" s="36"/>
      <c r="D56" s="36"/>
      <c r="E56" s="36"/>
      <c r="F56" s="36"/>
      <c r="G56" s="36"/>
      <c r="H56" s="36"/>
      <c r="I56" s="36"/>
      <c r="J56" s="36"/>
      <c r="L56" s="55"/>
      <c r="M56" s="55"/>
      <c r="N56" s="55"/>
      <c r="O56" s="55"/>
      <c r="P56" s="55"/>
      <c r="Q56" s="36"/>
      <c r="R56" s="36"/>
    </row>
    <row r="57" spans="1:18">
      <c r="A57" s="36"/>
      <c r="B57" s="36"/>
      <c r="C57" s="36"/>
      <c r="D57" s="36"/>
      <c r="E57" s="36"/>
      <c r="F57" s="36"/>
      <c r="G57" s="36"/>
      <c r="H57" s="36"/>
      <c r="I57" s="36"/>
      <c r="J57" s="64"/>
      <c r="L57" s="36"/>
      <c r="M57" s="36"/>
      <c r="N57" s="36"/>
      <c r="O57" s="36"/>
      <c r="P57" s="36"/>
      <c r="Q57" s="36"/>
      <c r="R57" s="36"/>
    </row>
    <row r="58" spans="1:18">
      <c r="A58" s="36"/>
      <c r="B58" s="36"/>
      <c r="C58" s="36"/>
      <c r="D58" s="36"/>
      <c r="E58" s="36"/>
      <c r="F58" s="36"/>
      <c r="G58" s="36"/>
      <c r="H58" s="36"/>
      <c r="I58" s="36"/>
      <c r="J58" s="64"/>
      <c r="L58" s="56"/>
      <c r="M58" s="56"/>
      <c r="N58" s="56"/>
      <c r="O58" s="56"/>
      <c r="P58" s="56"/>
      <c r="Q58" s="36"/>
      <c r="R58" s="36"/>
    </row>
    <row r="59" spans="1:18">
      <c r="A59" s="36"/>
      <c r="B59" s="36"/>
      <c r="C59" s="36"/>
      <c r="D59" s="36"/>
      <c r="E59" s="36"/>
      <c r="F59" s="36"/>
      <c r="G59" s="36"/>
      <c r="H59" s="36"/>
      <c r="I59" s="36"/>
      <c r="J59" s="64"/>
      <c r="L59" s="55"/>
      <c r="M59" s="55"/>
      <c r="N59" s="55"/>
      <c r="O59" s="55"/>
      <c r="P59" s="55"/>
      <c r="Q59" s="36"/>
      <c r="R59" s="36"/>
    </row>
    <row r="60" spans="1:18">
      <c r="A60" s="36"/>
      <c r="B60" s="36"/>
      <c r="C60" s="36"/>
      <c r="D60" s="36"/>
      <c r="E60" s="36"/>
      <c r="F60" s="36"/>
      <c r="G60" s="36"/>
      <c r="H60" s="36"/>
      <c r="I60" s="36"/>
      <c r="J60" s="64"/>
      <c r="L60" s="55"/>
      <c r="M60" s="55"/>
      <c r="N60" s="55"/>
      <c r="O60" s="55"/>
      <c r="P60" s="55"/>
      <c r="Q60" s="36"/>
      <c r="R60" s="36"/>
    </row>
    <row r="61" spans="1:18">
      <c r="A61" s="36"/>
      <c r="B61" s="36"/>
      <c r="C61" s="36"/>
      <c r="D61" s="36"/>
      <c r="E61" s="36"/>
      <c r="F61" s="36"/>
      <c r="G61" s="36"/>
      <c r="H61" s="36"/>
      <c r="I61" s="36"/>
      <c r="J61" s="64"/>
      <c r="L61" s="36"/>
      <c r="M61" s="36"/>
      <c r="N61" s="36"/>
      <c r="O61" s="36"/>
      <c r="P61" s="36"/>
      <c r="Q61" s="36"/>
      <c r="R61" s="36"/>
    </row>
    <row r="62" spans="1:18">
      <c r="A62" s="64"/>
      <c r="B62" s="64"/>
      <c r="C62" s="64"/>
      <c r="D62" s="64"/>
      <c r="E62" s="64"/>
      <c r="F62" s="64"/>
      <c r="G62" s="64"/>
      <c r="H62" s="64"/>
      <c r="I62" s="64"/>
      <c r="J62" s="64"/>
      <c r="L62" s="36"/>
      <c r="M62" s="36"/>
      <c r="N62" s="36"/>
      <c r="O62" s="36"/>
      <c r="P62" s="36"/>
      <c r="Q62" s="36"/>
      <c r="R62" s="36"/>
    </row>
    <row r="63" spans="1:18">
      <c r="A63" s="64"/>
      <c r="B63" s="64"/>
      <c r="C63" s="64"/>
      <c r="D63" s="64"/>
      <c r="E63" s="64"/>
      <c r="F63" s="64"/>
      <c r="G63" s="64"/>
      <c r="H63" s="64"/>
      <c r="I63" s="64"/>
      <c r="J63" s="64"/>
      <c r="L63" s="36"/>
      <c r="M63" s="36"/>
      <c r="N63" s="36"/>
      <c r="O63" s="36"/>
      <c r="P63" s="36"/>
      <c r="Q63" s="36"/>
      <c r="R63" s="36"/>
    </row>
    <row r="64" spans="1:18">
      <c r="A64" s="64"/>
      <c r="B64" s="64"/>
      <c r="C64" s="64"/>
      <c r="D64" s="64"/>
      <c r="E64" s="64"/>
      <c r="F64" s="64"/>
      <c r="G64" s="64"/>
      <c r="H64" s="64"/>
      <c r="I64" s="64"/>
      <c r="J64" s="64"/>
      <c r="L64" s="62"/>
      <c r="M64" s="62"/>
      <c r="N64" s="36"/>
      <c r="O64" s="36"/>
      <c r="P64" s="36"/>
      <c r="Q64" s="36"/>
      <c r="R64" s="36"/>
    </row>
    <row r="65" spans="1:18">
      <c r="A65" s="64"/>
      <c r="B65" s="64"/>
      <c r="C65" s="64"/>
      <c r="D65" s="64"/>
      <c r="E65" s="64"/>
      <c r="F65" s="64"/>
      <c r="G65" s="64"/>
      <c r="H65" s="64"/>
      <c r="I65" s="64"/>
      <c r="J65" s="64"/>
      <c r="L65" s="55"/>
      <c r="M65" s="55"/>
      <c r="N65" s="36"/>
      <c r="O65" s="36"/>
      <c r="P65" s="36"/>
      <c r="Q65" s="36"/>
      <c r="R65" s="36"/>
    </row>
    <row r="66" spans="1:18">
      <c r="A66" s="64"/>
      <c r="B66" s="64"/>
      <c r="C66" s="64"/>
      <c r="D66" s="64"/>
      <c r="E66" s="64"/>
      <c r="F66" s="64"/>
      <c r="G66" s="64"/>
      <c r="H66" s="64"/>
      <c r="I66" s="64"/>
      <c r="J66" s="64"/>
      <c r="L66" s="55"/>
      <c r="M66" s="55"/>
      <c r="N66" s="36"/>
      <c r="O66" s="36"/>
      <c r="P66" s="36"/>
      <c r="Q66" s="36"/>
      <c r="R66" s="36"/>
    </row>
    <row r="67" spans="1:18">
      <c r="A67" s="64"/>
      <c r="B67" s="64"/>
      <c r="C67" s="64"/>
      <c r="D67" s="64"/>
      <c r="E67" s="64"/>
      <c r="F67" s="64"/>
      <c r="G67" s="64"/>
      <c r="H67" s="64"/>
      <c r="I67" s="64"/>
      <c r="J67" s="64"/>
      <c r="L67" s="55"/>
      <c r="M67" s="55"/>
      <c r="N67" s="36"/>
      <c r="O67" s="36"/>
      <c r="P67" s="36"/>
      <c r="Q67" s="36"/>
      <c r="R67" s="36"/>
    </row>
    <row r="68" spans="1:18">
      <c r="A68" s="64"/>
      <c r="B68" s="64"/>
      <c r="C68" s="64"/>
      <c r="D68" s="64"/>
      <c r="E68" s="64"/>
      <c r="F68" s="64"/>
      <c r="G68" s="64"/>
      <c r="H68" s="64"/>
      <c r="I68" s="64"/>
      <c r="J68" s="64"/>
      <c r="L68" s="55"/>
      <c r="M68" s="55"/>
      <c r="N68" s="36"/>
      <c r="O68" s="36"/>
      <c r="P68" s="36"/>
      <c r="Q68" s="36"/>
      <c r="R68" s="36"/>
    </row>
    <row r="69" spans="1:18">
      <c r="A69" s="64"/>
      <c r="B69" s="64"/>
      <c r="C69" s="64"/>
      <c r="D69" s="64"/>
      <c r="E69" s="64"/>
      <c r="F69" s="64"/>
      <c r="G69" s="64"/>
      <c r="H69" s="64"/>
      <c r="I69" s="64"/>
      <c r="J69" s="64"/>
      <c r="L69" s="55"/>
      <c r="M69" s="55"/>
      <c r="N69" s="36"/>
      <c r="O69" s="36"/>
      <c r="P69" s="36"/>
      <c r="Q69" s="36"/>
      <c r="R69" s="36"/>
    </row>
    <row r="70" spans="1:18">
      <c r="A70" s="64"/>
      <c r="B70" s="64"/>
      <c r="C70" s="64"/>
      <c r="D70" s="64"/>
      <c r="E70" s="64"/>
      <c r="F70" s="64"/>
      <c r="G70" s="64"/>
      <c r="H70" s="64"/>
      <c r="I70" s="64"/>
      <c r="J70" s="64"/>
      <c r="L70" s="36"/>
      <c r="M70" s="36"/>
      <c r="N70" s="36"/>
      <c r="O70" s="36"/>
      <c r="P70" s="36"/>
      <c r="Q70" s="36"/>
      <c r="R70" s="36"/>
    </row>
    <row r="71" spans="1:18">
      <c r="A71" s="64"/>
      <c r="B71" s="64"/>
      <c r="C71" s="64"/>
      <c r="D71" s="64"/>
      <c r="E71" s="64"/>
      <c r="F71" s="64"/>
      <c r="G71" s="64"/>
      <c r="H71" s="64"/>
      <c r="I71" s="64"/>
      <c r="J71" s="64"/>
      <c r="L71" s="36"/>
      <c r="M71" s="36"/>
      <c r="N71" s="36"/>
      <c r="O71" s="36"/>
      <c r="P71" s="36"/>
      <c r="Q71" s="36"/>
      <c r="R71" s="36"/>
    </row>
    <row r="72" spans="1:18">
      <c r="A72" s="64"/>
      <c r="B72" s="64"/>
      <c r="C72" s="64"/>
      <c r="D72" s="64"/>
      <c r="E72" s="64"/>
      <c r="F72" s="64"/>
      <c r="G72" s="64"/>
      <c r="H72" s="64"/>
      <c r="I72" s="64"/>
      <c r="J72" s="64"/>
      <c r="L72" s="56"/>
      <c r="M72" s="56"/>
      <c r="N72" s="56"/>
      <c r="O72" s="56"/>
      <c r="P72" s="56"/>
      <c r="Q72" s="36"/>
      <c r="R72" s="36"/>
    </row>
    <row r="73" spans="1:18">
      <c r="A73" s="64"/>
      <c r="B73" s="64"/>
      <c r="C73" s="64"/>
      <c r="D73" s="64"/>
      <c r="E73" s="64"/>
      <c r="F73" s="64"/>
      <c r="G73" s="64"/>
      <c r="H73" s="64"/>
      <c r="I73" s="64"/>
      <c r="J73" s="64"/>
      <c r="L73" s="55"/>
      <c r="M73" s="55"/>
      <c r="N73" s="55"/>
      <c r="O73" s="55"/>
      <c r="P73" s="55"/>
      <c r="Q73" s="36"/>
      <c r="R73" s="36"/>
    </row>
    <row r="74" spans="1:18">
      <c r="A74" s="64"/>
      <c r="B74" s="64"/>
      <c r="C74" s="64"/>
      <c r="D74" s="64"/>
      <c r="E74" s="64"/>
      <c r="F74" s="64"/>
      <c r="G74" s="64"/>
      <c r="H74" s="64"/>
      <c r="I74" s="64"/>
      <c r="J74" s="64"/>
      <c r="L74" s="55"/>
      <c r="M74" s="55"/>
      <c r="N74" s="55"/>
      <c r="O74" s="55"/>
      <c r="P74" s="55"/>
      <c r="Q74" s="36"/>
      <c r="R74" s="36"/>
    </row>
    <row r="75" spans="1:18">
      <c r="A75" s="64"/>
      <c r="B75" s="64"/>
      <c r="C75" s="64"/>
      <c r="D75" s="64"/>
      <c r="E75" s="64"/>
      <c r="F75" s="64"/>
      <c r="G75" s="64"/>
      <c r="H75" s="64"/>
      <c r="I75" s="64"/>
      <c r="J75" s="64"/>
      <c r="L75" s="55"/>
      <c r="M75" s="55"/>
      <c r="N75" s="55"/>
      <c r="O75" s="55"/>
      <c r="P75" s="55"/>
      <c r="Q75" s="36"/>
      <c r="R75" s="36"/>
    </row>
    <row r="76" spans="1:18">
      <c r="A76" s="64"/>
      <c r="B76" s="64"/>
      <c r="C76" s="64"/>
      <c r="D76" s="64"/>
      <c r="E76" s="64"/>
      <c r="F76" s="64"/>
      <c r="G76" s="64"/>
      <c r="H76" s="64"/>
      <c r="I76" s="64"/>
      <c r="J76" s="64"/>
      <c r="L76" s="36"/>
      <c r="M76" s="36"/>
      <c r="N76" s="36"/>
      <c r="O76" s="36"/>
      <c r="P76" s="36"/>
      <c r="Q76" s="36"/>
      <c r="R76" s="36"/>
    </row>
    <row r="77" spans="1:18">
      <c r="A77" s="64"/>
      <c r="B77" s="64"/>
      <c r="C77" s="64"/>
      <c r="D77" s="64"/>
      <c r="E77" s="64"/>
      <c r="F77" s="64"/>
      <c r="G77" s="64"/>
      <c r="H77" s="64"/>
      <c r="I77" s="64"/>
      <c r="J77" s="64"/>
      <c r="L77" s="56"/>
      <c r="M77" s="56"/>
      <c r="N77" s="56"/>
      <c r="O77" s="56"/>
      <c r="P77" s="56"/>
      <c r="Q77" s="36"/>
      <c r="R77" s="36"/>
    </row>
    <row r="78" spans="1:18">
      <c r="A78" s="64"/>
      <c r="B78" s="64"/>
      <c r="C78" s="64"/>
      <c r="D78" s="64"/>
      <c r="E78" s="64"/>
      <c r="F78" s="64"/>
      <c r="G78" s="64"/>
      <c r="H78" s="64"/>
      <c r="I78" s="64"/>
      <c r="J78" s="64"/>
      <c r="L78" s="55"/>
      <c r="M78" s="55"/>
      <c r="N78" s="55"/>
      <c r="O78" s="55"/>
      <c r="P78" s="55"/>
      <c r="Q78" s="36"/>
      <c r="R78" s="36"/>
    </row>
    <row r="79" spans="1:18">
      <c r="A79" s="64"/>
      <c r="B79" s="64"/>
      <c r="C79" s="64"/>
      <c r="D79" s="64"/>
      <c r="E79" s="64"/>
      <c r="F79" s="64"/>
      <c r="G79" s="64"/>
      <c r="H79" s="64"/>
      <c r="I79" s="64"/>
      <c r="J79" s="64"/>
      <c r="L79" s="55"/>
      <c r="M79" s="55"/>
      <c r="N79" s="55"/>
      <c r="O79" s="55"/>
      <c r="P79" s="55"/>
      <c r="Q79" s="36"/>
      <c r="R79" s="36"/>
    </row>
    <row r="80" spans="1:18">
      <c r="A80" s="64"/>
      <c r="B80" s="64"/>
      <c r="C80" s="64"/>
      <c r="D80" s="64"/>
      <c r="E80" s="64"/>
      <c r="F80" s="64"/>
      <c r="G80" s="64"/>
      <c r="H80" s="64"/>
      <c r="I80" s="64"/>
      <c r="J80" s="64"/>
      <c r="L80" s="36"/>
      <c r="M80" s="36"/>
      <c r="N80" s="36"/>
      <c r="O80" s="36"/>
      <c r="P80" s="36"/>
      <c r="Q80" s="36"/>
      <c r="R80" s="36"/>
    </row>
    <row r="81" spans="1:18">
      <c r="A81" s="64"/>
      <c r="B81" s="64"/>
      <c r="C81" s="64"/>
      <c r="D81" s="64"/>
      <c r="E81" s="64"/>
      <c r="F81" s="64"/>
      <c r="G81" s="64"/>
      <c r="H81" s="64"/>
      <c r="I81" s="64"/>
      <c r="J81" s="64"/>
      <c r="L81" s="36"/>
      <c r="M81" s="36"/>
      <c r="N81" s="36"/>
      <c r="O81" s="36"/>
      <c r="P81" s="36"/>
      <c r="Q81" s="36"/>
      <c r="R81" s="36"/>
    </row>
    <row r="82" spans="1:18">
      <c r="A82" s="64"/>
      <c r="B82" s="64"/>
      <c r="C82" s="64"/>
      <c r="D82" s="64"/>
      <c r="E82" s="64"/>
      <c r="F82" s="64"/>
      <c r="G82" s="64"/>
      <c r="H82" s="64"/>
      <c r="I82" s="64"/>
      <c r="J82" s="64"/>
      <c r="L82" s="36"/>
      <c r="M82" s="36"/>
      <c r="N82" s="36"/>
      <c r="O82" s="36"/>
      <c r="P82" s="36"/>
      <c r="Q82" s="36"/>
      <c r="R82" s="36"/>
    </row>
    <row r="83" spans="1:18">
      <c r="A83" s="64"/>
      <c r="B83" s="64"/>
      <c r="C83" s="64"/>
      <c r="D83" s="64"/>
      <c r="E83" s="64"/>
      <c r="F83" s="64"/>
      <c r="G83" s="64"/>
      <c r="H83" s="64"/>
      <c r="I83" s="64"/>
      <c r="J83" s="64"/>
      <c r="L83" s="36"/>
      <c r="M83" s="36"/>
      <c r="N83" s="36"/>
      <c r="O83" s="36"/>
      <c r="P83" s="36"/>
      <c r="Q83" s="36"/>
      <c r="R83" s="36"/>
    </row>
    <row r="84" spans="1:18">
      <c r="A84" s="64"/>
      <c r="B84" s="64"/>
      <c r="C84" s="64"/>
      <c r="D84" s="64"/>
      <c r="E84" s="64"/>
      <c r="F84" s="64"/>
      <c r="G84" s="64"/>
      <c r="H84" s="64"/>
      <c r="I84" s="64"/>
      <c r="J84" s="64"/>
      <c r="L84" s="36"/>
      <c r="M84" s="36"/>
      <c r="N84" s="36"/>
      <c r="O84" s="36"/>
      <c r="P84" s="36"/>
      <c r="Q84" s="36"/>
      <c r="R84" s="36"/>
    </row>
    <row r="85" spans="1:18">
      <c r="A85" s="64"/>
      <c r="B85" s="64"/>
      <c r="C85" s="64"/>
      <c r="D85" s="64"/>
      <c r="E85" s="64"/>
      <c r="F85" s="64"/>
      <c r="G85" s="64"/>
      <c r="H85" s="64"/>
      <c r="I85" s="64"/>
      <c r="J85" s="64"/>
      <c r="L85" s="36"/>
      <c r="M85" s="36"/>
      <c r="N85" s="36"/>
      <c r="O85" s="36"/>
      <c r="P85" s="36"/>
      <c r="Q85" s="36"/>
      <c r="R85" s="36"/>
    </row>
    <row r="86" spans="1:18">
      <c r="A86" s="64"/>
      <c r="B86" s="64"/>
      <c r="C86" s="64"/>
      <c r="D86" s="64"/>
      <c r="E86" s="64"/>
      <c r="F86" s="64"/>
      <c r="G86" s="64"/>
      <c r="H86" s="64"/>
      <c r="I86" s="64"/>
      <c r="J86" s="64"/>
      <c r="L86" s="36"/>
      <c r="M86" s="36"/>
      <c r="N86" s="36"/>
      <c r="O86" s="36"/>
      <c r="P86" s="36"/>
      <c r="Q86" s="36"/>
      <c r="R86" s="36"/>
    </row>
    <row r="87" spans="1:18">
      <c r="A87" s="64"/>
      <c r="B87" s="64"/>
      <c r="C87" s="64"/>
      <c r="D87" s="64"/>
      <c r="E87" s="64"/>
      <c r="F87" s="64"/>
      <c r="G87" s="64"/>
      <c r="H87" s="64"/>
      <c r="I87" s="64"/>
      <c r="J87" s="64"/>
      <c r="L87" s="36"/>
      <c r="M87" s="36"/>
      <c r="N87" s="36"/>
      <c r="O87" s="36"/>
      <c r="P87" s="36"/>
      <c r="Q87" s="36"/>
      <c r="R87" s="36"/>
    </row>
    <row r="88" spans="1:18">
      <c r="A88" s="64"/>
      <c r="B88" s="64"/>
      <c r="C88" s="64"/>
      <c r="D88" s="64"/>
      <c r="E88" s="64"/>
      <c r="F88" s="64"/>
      <c r="G88" s="64"/>
      <c r="H88" s="64"/>
      <c r="I88" s="64"/>
      <c r="J88" s="64"/>
      <c r="L88" s="36"/>
      <c r="M88" s="36"/>
      <c r="N88" s="36"/>
      <c r="O88" s="36"/>
      <c r="P88" s="36"/>
      <c r="Q88" s="36"/>
      <c r="R88" s="36"/>
    </row>
    <row r="89" spans="1:18">
      <c r="A89" s="64"/>
      <c r="B89" s="64"/>
      <c r="C89" s="64"/>
      <c r="D89" s="64"/>
      <c r="E89" s="64"/>
      <c r="F89" s="64"/>
      <c r="G89" s="64"/>
      <c r="H89" s="64"/>
      <c r="I89" s="64"/>
      <c r="J89" s="64"/>
      <c r="L89" s="36"/>
      <c r="M89" s="36"/>
      <c r="N89" s="36"/>
      <c r="O89" s="36"/>
      <c r="P89" s="36"/>
      <c r="Q89" s="36"/>
      <c r="R89" s="36"/>
    </row>
    <row r="90" spans="1:18">
      <c r="A90" s="64"/>
      <c r="B90" s="64"/>
      <c r="C90" s="64"/>
      <c r="D90" s="64"/>
      <c r="E90" s="64"/>
      <c r="F90" s="64"/>
      <c r="G90" s="64"/>
      <c r="H90" s="64"/>
      <c r="I90" s="64"/>
      <c r="J90" s="64"/>
      <c r="L90" s="36"/>
      <c r="M90" s="36"/>
      <c r="N90" s="36"/>
      <c r="O90" s="36"/>
      <c r="P90" s="36"/>
      <c r="Q90" s="36"/>
      <c r="R90" s="36"/>
    </row>
    <row r="91" spans="1:18">
      <c r="A91" s="64"/>
      <c r="B91" s="64"/>
      <c r="C91" s="64"/>
      <c r="D91" s="64"/>
      <c r="E91" s="64"/>
      <c r="F91" s="64"/>
      <c r="G91" s="64"/>
      <c r="H91" s="64"/>
      <c r="I91" s="64"/>
      <c r="J91" s="64"/>
      <c r="L91" s="36"/>
      <c r="M91" s="36"/>
      <c r="N91" s="36"/>
      <c r="O91" s="36"/>
      <c r="P91" s="36"/>
      <c r="Q91" s="36"/>
      <c r="R91" s="36"/>
    </row>
    <row r="92" spans="1:18">
      <c r="A92" s="64"/>
      <c r="B92" s="64"/>
      <c r="C92" s="64"/>
      <c r="D92" s="64"/>
      <c r="E92" s="64"/>
      <c r="F92" s="64"/>
      <c r="G92" s="64"/>
      <c r="H92" s="64"/>
      <c r="I92" s="64"/>
      <c r="J92" s="64"/>
      <c r="L92" s="36"/>
      <c r="M92" s="36"/>
      <c r="N92" s="36"/>
      <c r="O92" s="36"/>
      <c r="P92" s="36"/>
      <c r="Q92" s="36"/>
      <c r="R92" s="36"/>
    </row>
    <row r="93" spans="1:18">
      <c r="A93" s="64"/>
      <c r="B93" s="64"/>
      <c r="C93" s="64"/>
      <c r="D93" s="64"/>
      <c r="E93" s="64"/>
      <c r="F93" s="64"/>
      <c r="G93" s="64"/>
      <c r="H93" s="64"/>
      <c r="I93" s="64"/>
      <c r="J93" s="64"/>
      <c r="L93" s="36"/>
      <c r="M93" s="36"/>
      <c r="N93" s="36"/>
      <c r="O93" s="36"/>
      <c r="P93" s="36"/>
      <c r="Q93" s="36"/>
      <c r="R93" s="36"/>
    </row>
    <row r="94" spans="1:18">
      <c r="A94" s="64"/>
      <c r="B94" s="64"/>
      <c r="C94" s="64"/>
      <c r="D94" s="64"/>
      <c r="E94" s="64"/>
      <c r="F94" s="64"/>
      <c r="G94" s="64"/>
      <c r="H94" s="64"/>
      <c r="I94" s="64"/>
      <c r="J94" s="64"/>
      <c r="L94" s="36"/>
      <c r="M94" s="36"/>
      <c r="N94" s="36"/>
      <c r="O94" s="36"/>
      <c r="P94" s="36"/>
      <c r="Q94" s="36"/>
      <c r="R94" s="36"/>
    </row>
    <row r="95" spans="1:18">
      <c r="A95" s="64"/>
      <c r="B95" s="64"/>
      <c r="C95" s="64"/>
      <c r="D95" s="64"/>
      <c r="E95" s="64"/>
      <c r="F95" s="64"/>
      <c r="G95" s="64"/>
      <c r="H95" s="64"/>
      <c r="I95" s="64"/>
      <c r="J95" s="64"/>
      <c r="L95" s="36"/>
      <c r="M95" s="36"/>
      <c r="N95" s="36"/>
      <c r="O95" s="36"/>
      <c r="P95" s="36"/>
      <c r="Q95" s="36"/>
      <c r="R95" s="36"/>
    </row>
    <row r="96" spans="1:18">
      <c r="A96" s="64"/>
      <c r="B96" s="64"/>
      <c r="C96" s="64"/>
      <c r="D96" s="64"/>
      <c r="E96" s="64"/>
      <c r="F96" s="64"/>
      <c r="G96" s="64"/>
      <c r="H96" s="64"/>
      <c r="I96" s="64"/>
      <c r="J96" s="64"/>
      <c r="L96" s="36"/>
      <c r="M96" s="36"/>
      <c r="N96" s="36"/>
      <c r="O96" s="36"/>
      <c r="P96" s="36"/>
      <c r="Q96" s="36"/>
      <c r="R96" s="36"/>
    </row>
    <row r="97" spans="1:18">
      <c r="A97" s="64"/>
      <c r="B97" s="64"/>
      <c r="C97" s="64"/>
      <c r="D97" s="64"/>
      <c r="E97" s="64"/>
      <c r="F97" s="64"/>
      <c r="G97" s="64"/>
      <c r="H97" s="64"/>
      <c r="I97" s="64"/>
      <c r="J97" s="64"/>
      <c r="L97" s="36"/>
      <c r="M97" s="36"/>
      <c r="N97" s="36"/>
      <c r="O97" s="36"/>
      <c r="P97" s="36"/>
      <c r="Q97" s="36"/>
      <c r="R97" s="36"/>
    </row>
    <row r="98" spans="1:18">
      <c r="A98" s="64"/>
      <c r="B98" s="64"/>
      <c r="C98" s="64"/>
      <c r="D98" s="64"/>
      <c r="E98" s="64"/>
      <c r="F98" s="64"/>
      <c r="G98" s="64"/>
      <c r="H98" s="64"/>
      <c r="I98" s="64"/>
      <c r="J98" s="64"/>
      <c r="L98" s="36"/>
      <c r="M98" s="36"/>
      <c r="N98" s="36"/>
      <c r="O98" s="36"/>
      <c r="P98" s="36"/>
      <c r="Q98" s="36"/>
      <c r="R98" s="36"/>
    </row>
    <row r="99" spans="1:18">
      <c r="A99" s="64"/>
      <c r="B99" s="64"/>
      <c r="C99" s="64"/>
      <c r="D99" s="64"/>
      <c r="E99" s="64"/>
      <c r="F99" s="64"/>
      <c r="G99" s="64"/>
      <c r="H99" s="64"/>
      <c r="I99" s="64"/>
      <c r="J99" s="64"/>
      <c r="L99" s="36"/>
      <c r="M99" s="36"/>
      <c r="N99" s="36"/>
      <c r="O99" s="36"/>
      <c r="P99" s="36"/>
      <c r="Q99" s="36"/>
      <c r="R99" s="36"/>
    </row>
    <row r="100" spans="1:18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L100" s="36"/>
      <c r="M100" s="36"/>
      <c r="N100" s="36"/>
      <c r="O100" s="36"/>
      <c r="P100" s="36"/>
      <c r="Q100" s="36"/>
      <c r="R100" s="36"/>
    </row>
    <row r="101" spans="1:18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L101" s="36"/>
      <c r="M101" s="36"/>
      <c r="N101" s="36"/>
      <c r="O101" s="36"/>
      <c r="P101" s="36"/>
      <c r="Q101" s="36"/>
      <c r="R101" s="36"/>
    </row>
    <row r="102" spans="1:18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L102" s="36"/>
      <c r="M102" s="36"/>
      <c r="N102" s="36"/>
      <c r="O102" s="36"/>
      <c r="P102" s="36"/>
      <c r="Q102" s="36"/>
      <c r="R102" s="36"/>
    </row>
    <row r="103" spans="1:18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L103" s="36"/>
      <c r="M103" s="36"/>
      <c r="N103" s="36"/>
      <c r="O103" s="36"/>
      <c r="P103" s="36"/>
      <c r="Q103" s="36"/>
      <c r="R103" s="36"/>
    </row>
    <row r="104" spans="1:18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L104" s="36"/>
      <c r="M104" s="36"/>
      <c r="N104" s="36"/>
      <c r="O104" s="36"/>
      <c r="P104" s="36"/>
      <c r="Q104" s="36"/>
      <c r="R104" s="36"/>
    </row>
    <row r="105" spans="1:18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L105" s="36"/>
      <c r="M105" s="36"/>
      <c r="N105" s="36"/>
      <c r="O105" s="36"/>
      <c r="P105" s="36"/>
      <c r="Q105" s="36"/>
      <c r="R105" s="36"/>
    </row>
    <row r="106" spans="1:18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L106" s="36"/>
      <c r="M106" s="36"/>
      <c r="N106" s="36"/>
      <c r="O106" s="36"/>
      <c r="P106" s="36"/>
      <c r="Q106" s="36"/>
      <c r="R106" s="36"/>
    </row>
    <row r="107" spans="1:18">
      <c r="L107" s="36"/>
      <c r="M107" s="36"/>
      <c r="N107" s="36"/>
      <c r="O107" s="36"/>
      <c r="P107" s="36"/>
      <c r="Q107" s="36"/>
      <c r="R107" s="36"/>
    </row>
    <row r="108" spans="1:18">
      <c r="L108" s="36"/>
      <c r="M108" s="36"/>
      <c r="N108" s="36"/>
      <c r="O108" s="36"/>
      <c r="P108" s="36"/>
      <c r="Q108" s="36"/>
      <c r="R108" s="36"/>
    </row>
    <row r="109" spans="1:18">
      <c r="L109" s="36"/>
      <c r="M109" s="36"/>
      <c r="N109" s="36"/>
      <c r="O109" s="36"/>
      <c r="P109" s="36"/>
      <c r="Q109" s="36"/>
      <c r="R109" s="36"/>
    </row>
    <row r="110" spans="1:18">
      <c r="L110" s="36"/>
      <c r="M110" s="36"/>
      <c r="N110" s="36"/>
      <c r="O110" s="36"/>
      <c r="P110" s="36"/>
      <c r="Q110" s="36"/>
      <c r="R110" s="36"/>
    </row>
    <row r="111" spans="1:18">
      <c r="L111" s="36"/>
      <c r="M111" s="36"/>
      <c r="N111" s="36"/>
      <c r="O111" s="36"/>
      <c r="P111" s="36"/>
      <c r="Q111" s="36"/>
      <c r="R111" s="36"/>
    </row>
    <row r="112" spans="1:18">
      <c r="L112" s="36"/>
      <c r="M112" s="36"/>
      <c r="N112" s="36"/>
      <c r="O112" s="36"/>
      <c r="P112" s="36"/>
      <c r="Q112" s="36"/>
      <c r="R112" s="36"/>
    </row>
    <row r="113" spans="12:18">
      <c r="L113" s="36"/>
      <c r="M113" s="36"/>
      <c r="N113" s="36"/>
      <c r="O113" s="36"/>
      <c r="P113" s="36"/>
      <c r="Q113" s="36"/>
      <c r="R113" s="36"/>
    </row>
    <row r="114" spans="12:18">
      <c r="L114" s="36"/>
      <c r="M114" s="36"/>
      <c r="N114" s="36"/>
      <c r="O114" s="36"/>
      <c r="P114" s="36"/>
      <c r="Q114" s="36"/>
      <c r="R114" s="36"/>
    </row>
    <row r="115" spans="12:18">
      <c r="L115" s="36"/>
      <c r="M115" s="36"/>
      <c r="N115" s="36"/>
      <c r="O115" s="36"/>
      <c r="P115" s="36"/>
      <c r="Q115" s="36"/>
      <c r="R115" s="36"/>
    </row>
    <row r="116" spans="12:18">
      <c r="L116" s="36"/>
      <c r="M116" s="36"/>
      <c r="N116" s="36"/>
      <c r="O116" s="36"/>
      <c r="P116" s="36"/>
      <c r="Q116" s="36"/>
      <c r="R116" s="36"/>
    </row>
    <row r="117" spans="12:18">
      <c r="L117" s="36"/>
      <c r="M117" s="36"/>
      <c r="N117" s="36"/>
      <c r="O117" s="36"/>
      <c r="P117" s="36"/>
      <c r="Q117" s="36"/>
      <c r="R117" s="36"/>
    </row>
    <row r="118" spans="12:18">
      <c r="L118" s="36"/>
      <c r="M118" s="36"/>
      <c r="N118" s="36"/>
      <c r="O118" s="36"/>
      <c r="P118" s="36"/>
      <c r="Q118" s="36"/>
      <c r="R118" s="36"/>
    </row>
    <row r="119" spans="12:18">
      <c r="L119" s="36"/>
      <c r="M119" s="36"/>
      <c r="N119" s="36"/>
      <c r="O119" s="36"/>
      <c r="P119" s="36"/>
      <c r="Q119" s="36"/>
      <c r="R119" s="36"/>
    </row>
    <row r="120" spans="12:18">
      <c r="L120" s="36"/>
      <c r="M120" s="36"/>
      <c r="N120" s="36"/>
      <c r="O120" s="36"/>
      <c r="P120" s="36"/>
      <c r="Q120" s="36"/>
      <c r="R120" s="36"/>
    </row>
    <row r="121" spans="12:18">
      <c r="L121" s="36"/>
      <c r="M121" s="36"/>
      <c r="N121" s="36"/>
      <c r="O121" s="36"/>
      <c r="P121" s="36"/>
      <c r="Q121" s="36"/>
      <c r="R121" s="36"/>
    </row>
    <row r="122" spans="12:18">
      <c r="L122" s="36"/>
      <c r="M122" s="36"/>
      <c r="N122" s="36"/>
      <c r="O122" s="36"/>
      <c r="P122" s="36"/>
      <c r="Q122" s="36"/>
      <c r="R122" s="36"/>
    </row>
    <row r="123" spans="12:18">
      <c r="L123" s="36"/>
      <c r="M123" s="36"/>
      <c r="N123" s="36"/>
      <c r="O123" s="36"/>
      <c r="P123" s="36"/>
      <c r="Q123" s="36"/>
      <c r="R123" s="36"/>
    </row>
    <row r="124" spans="12:18">
      <c r="L124" s="36"/>
      <c r="M124" s="36"/>
      <c r="N124" s="36"/>
      <c r="O124" s="36"/>
      <c r="P124" s="36"/>
      <c r="Q124" s="36"/>
      <c r="R124" s="36"/>
    </row>
  </sheetData>
  <mergeCells count="16">
    <mergeCell ref="M6:N6"/>
    <mergeCell ref="O6:P6"/>
    <mergeCell ref="Q6:R6"/>
    <mergeCell ref="M4:N4"/>
    <mergeCell ref="O4:P4"/>
    <mergeCell ref="Q4:R4"/>
    <mergeCell ref="M5:N5"/>
    <mergeCell ref="O5:P5"/>
    <mergeCell ref="Q5:R5"/>
    <mergeCell ref="L1:L2"/>
    <mergeCell ref="M1:N2"/>
    <mergeCell ref="O1:P2"/>
    <mergeCell ref="Q1:R2"/>
    <mergeCell ref="M3:N3"/>
    <mergeCell ref="O3:P3"/>
    <mergeCell ref="Q3:R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>
      <selection activeCell="B58" sqref="B58"/>
    </sheetView>
  </sheetViews>
  <sheetFormatPr defaultRowHeight="14.4"/>
  <cols>
    <col min="1" max="1" width="26.33203125" bestFit="1" customWidth="1"/>
    <col min="2" max="2" width="16.88671875" bestFit="1" customWidth="1"/>
    <col min="3" max="3" width="23.33203125" bestFit="1" customWidth="1"/>
    <col min="4" max="4" width="15.5546875" bestFit="1" customWidth="1"/>
    <col min="5" max="5" width="12" bestFit="1" customWidth="1"/>
    <col min="6" max="6" width="14.6640625" bestFit="1" customWidth="1"/>
    <col min="7" max="7" width="13.109375" bestFit="1" customWidth="1"/>
    <col min="8" max="8" width="14.6640625" bestFit="1" customWidth="1"/>
    <col min="9" max="9" width="14.88671875" bestFit="1" customWidth="1"/>
  </cols>
  <sheetData>
    <row r="1" spans="1:9">
      <c r="A1" t="s">
        <v>87</v>
      </c>
    </row>
    <row r="2" spans="1:9" ht="15" thickBot="1"/>
    <row r="3" spans="1:9">
      <c r="A3" s="16" t="s">
        <v>88</v>
      </c>
      <c r="B3" s="16"/>
    </row>
    <row r="4" spans="1:9">
      <c r="A4" s="13" t="s">
        <v>89</v>
      </c>
      <c r="B4" s="13">
        <v>0.98080669284591082</v>
      </c>
    </row>
    <row r="5" spans="1:9">
      <c r="A5" s="13" t="s">
        <v>90</v>
      </c>
      <c r="B5" s="13">
        <v>0.9619817687313329</v>
      </c>
    </row>
    <row r="6" spans="1:9">
      <c r="A6" s="13" t="s">
        <v>91</v>
      </c>
      <c r="B6" s="13">
        <v>0.95986964477196246</v>
      </c>
    </row>
    <row r="7" spans="1:9">
      <c r="A7" s="13" t="s">
        <v>92</v>
      </c>
      <c r="B7" s="13">
        <v>0.3076419118660873</v>
      </c>
    </row>
    <row r="8" spans="1:9" ht="15" thickBot="1">
      <c r="A8" s="14" t="s">
        <v>93</v>
      </c>
      <c r="B8" s="14">
        <v>20</v>
      </c>
    </row>
    <row r="10" spans="1:9" ht="15" thickBot="1">
      <c r="A10" t="s">
        <v>94</v>
      </c>
    </row>
    <row r="11" spans="1:9">
      <c r="A11" s="15"/>
      <c r="B11" s="15" t="s">
        <v>99</v>
      </c>
      <c r="C11" s="15" t="s">
        <v>100</v>
      </c>
      <c r="D11" s="15" t="s">
        <v>101</v>
      </c>
      <c r="E11" s="15" t="s">
        <v>102</v>
      </c>
      <c r="F11" s="15" t="s">
        <v>103</v>
      </c>
    </row>
    <row r="12" spans="1:9">
      <c r="A12" s="13" t="s">
        <v>95</v>
      </c>
      <c r="B12" s="13">
        <v>1</v>
      </c>
      <c r="C12" s="13">
        <v>43.106071173140819</v>
      </c>
      <c r="D12" s="13">
        <v>43.106071173140819</v>
      </c>
      <c r="E12" s="13">
        <v>455.45705992468868</v>
      </c>
      <c r="F12" s="13">
        <v>3.1315860590830836E-14</v>
      </c>
    </row>
    <row r="13" spans="1:9">
      <c r="A13" s="13" t="s">
        <v>96</v>
      </c>
      <c r="B13" s="13">
        <v>18</v>
      </c>
      <c r="C13" s="13">
        <v>1.7035838268591859</v>
      </c>
      <c r="D13" s="13">
        <v>9.4643545936621443E-2</v>
      </c>
      <c r="E13" s="13"/>
      <c r="F13" s="13"/>
    </row>
    <row r="14" spans="1:9" ht="15" thickBot="1">
      <c r="A14" s="14" t="s">
        <v>97</v>
      </c>
      <c r="B14" s="14">
        <v>19</v>
      </c>
      <c r="C14" s="14">
        <v>44.809655000000006</v>
      </c>
      <c r="D14" s="14"/>
      <c r="E14" s="14"/>
      <c r="F14" s="14"/>
    </row>
    <row r="15" spans="1:9" ht="15" thickBot="1"/>
    <row r="16" spans="1:9">
      <c r="A16" s="15"/>
      <c r="B16" s="15" t="s">
        <v>104</v>
      </c>
      <c r="C16" s="15" t="s">
        <v>92</v>
      </c>
      <c r="D16" s="15" t="s">
        <v>105</v>
      </c>
      <c r="E16" s="15" t="s">
        <v>106</v>
      </c>
      <c r="F16" s="15" t="s">
        <v>107</v>
      </c>
      <c r="G16" s="15" t="s">
        <v>108</v>
      </c>
      <c r="H16" s="15" t="s">
        <v>109</v>
      </c>
      <c r="I16" s="15" t="s">
        <v>110</v>
      </c>
    </row>
    <row r="17" spans="1:9">
      <c r="A17" s="13" t="s">
        <v>98</v>
      </c>
      <c r="B17" s="13">
        <v>-0.1471474023801802</v>
      </c>
      <c r="C17" s="13">
        <v>0.2755144227748324</v>
      </c>
      <c r="D17" s="13">
        <v>-0.5340823935755924</v>
      </c>
      <c r="E17" s="13">
        <v>0.59981928040121557</v>
      </c>
      <c r="F17" s="13">
        <v>-0.72598172559211294</v>
      </c>
      <c r="G17" s="13">
        <v>0.43168692083175253</v>
      </c>
      <c r="H17" s="13">
        <v>-0.72598172559211294</v>
      </c>
      <c r="I17" s="13">
        <v>0.43168692083175253</v>
      </c>
    </row>
    <row r="18" spans="1:9" ht="15" thickBot="1">
      <c r="A18" s="14" t="s">
        <v>111</v>
      </c>
      <c r="B18" s="14">
        <v>7.5443525187562852E-2</v>
      </c>
      <c r="C18" s="14">
        <v>3.5350719210738403E-3</v>
      </c>
      <c r="D18" s="14">
        <v>21.341439968396894</v>
      </c>
      <c r="E18" s="14">
        <v>3.131586059083095E-14</v>
      </c>
      <c r="F18" s="14">
        <v>6.8016614674741599E-2</v>
      </c>
      <c r="G18" s="14">
        <v>8.2870435700384104E-2</v>
      </c>
      <c r="H18" s="14">
        <v>6.8016614674741599E-2</v>
      </c>
      <c r="I18" s="14">
        <v>8.2870435700384104E-2</v>
      </c>
    </row>
    <row r="20" spans="1:9">
      <c r="A20" t="s">
        <v>87</v>
      </c>
    </row>
    <row r="21" spans="1:9" ht="15" thickBot="1"/>
    <row r="22" spans="1:9">
      <c r="A22" s="16" t="s">
        <v>88</v>
      </c>
      <c r="B22" s="16"/>
    </row>
    <row r="23" spans="1:9">
      <c r="A23" s="13" t="s">
        <v>89</v>
      </c>
      <c r="B23" s="13">
        <v>0.9658628057204266</v>
      </c>
    </row>
    <row r="24" spans="1:9">
      <c r="A24" s="13" t="s">
        <v>90</v>
      </c>
      <c r="B24" s="13">
        <v>0.93289095947413458</v>
      </c>
    </row>
    <row r="25" spans="1:9">
      <c r="A25" s="13" t="s">
        <v>91</v>
      </c>
      <c r="B25" s="13">
        <v>0.92916267944491993</v>
      </c>
    </row>
    <row r="26" spans="1:9">
      <c r="A26" s="13" t="s">
        <v>92</v>
      </c>
      <c r="B26" s="13">
        <v>0.4087333383179097</v>
      </c>
    </row>
    <row r="27" spans="1:9" ht="15" thickBot="1">
      <c r="A27" s="14" t="s">
        <v>93</v>
      </c>
      <c r="B27" s="14">
        <v>20</v>
      </c>
    </row>
    <row r="29" spans="1:9" ht="15" thickBot="1">
      <c r="A29" t="s">
        <v>94</v>
      </c>
    </row>
    <row r="30" spans="1:9">
      <c r="A30" s="15"/>
      <c r="B30" s="15" t="s">
        <v>99</v>
      </c>
      <c r="C30" s="15" t="s">
        <v>100</v>
      </c>
      <c r="D30" s="15" t="s">
        <v>101</v>
      </c>
      <c r="E30" s="15" t="s">
        <v>102</v>
      </c>
      <c r="F30" s="15" t="s">
        <v>103</v>
      </c>
    </row>
    <row r="31" spans="1:9">
      <c r="A31" s="13" t="s">
        <v>95</v>
      </c>
      <c r="B31" s="13">
        <v>1</v>
      </c>
      <c r="C31" s="13">
        <v>41.802522046654957</v>
      </c>
      <c r="D31" s="13">
        <v>41.802522046654957</v>
      </c>
      <c r="E31" s="13">
        <v>250.22019595202468</v>
      </c>
      <c r="F31" s="13">
        <v>5.282495176215921E-12</v>
      </c>
    </row>
    <row r="32" spans="1:9">
      <c r="A32" s="13" t="s">
        <v>96</v>
      </c>
      <c r="B32" s="13">
        <v>18</v>
      </c>
      <c r="C32" s="13">
        <v>3.0071329533450508</v>
      </c>
      <c r="D32" s="13">
        <v>0.16706294185250281</v>
      </c>
      <c r="E32" s="13"/>
      <c r="F32" s="13"/>
    </row>
    <row r="33" spans="1:9" ht="15" thickBot="1">
      <c r="A33" s="14" t="s">
        <v>97</v>
      </c>
      <c r="B33" s="14">
        <v>19</v>
      </c>
      <c r="C33" s="14">
        <v>44.809655000000006</v>
      </c>
      <c r="D33" s="14"/>
      <c r="E33" s="14"/>
      <c r="F33" s="14"/>
    </row>
    <row r="34" spans="1:9" ht="15" thickBot="1"/>
    <row r="35" spans="1:9">
      <c r="A35" s="15"/>
      <c r="B35" s="15" t="s">
        <v>104</v>
      </c>
      <c r="C35" s="15" t="s">
        <v>92</v>
      </c>
      <c r="D35" s="15" t="s">
        <v>105</v>
      </c>
      <c r="E35" s="15" t="s">
        <v>106</v>
      </c>
      <c r="F35" s="15" t="s">
        <v>107</v>
      </c>
      <c r="G35" s="15" t="s">
        <v>108</v>
      </c>
      <c r="H35" s="15" t="s">
        <v>112</v>
      </c>
      <c r="I35" s="15" t="s">
        <v>113</v>
      </c>
    </row>
    <row r="36" spans="1:9">
      <c r="A36" s="13" t="s">
        <v>98</v>
      </c>
      <c r="B36" s="13">
        <v>-17.630624535087151</v>
      </c>
      <c r="C36" s="13">
        <v>1.4680526778006204</v>
      </c>
      <c r="D36" s="13">
        <v>-12.009531266616856</v>
      </c>
      <c r="E36" s="13">
        <v>4.9824124318842089E-10</v>
      </c>
      <c r="F36" s="13">
        <v>-20.71488876211335</v>
      </c>
      <c r="G36" s="13">
        <v>-14.546360308060953</v>
      </c>
      <c r="H36" s="13">
        <v>-20.71488876211335</v>
      </c>
      <c r="I36" s="13">
        <v>-14.546360308060953</v>
      </c>
    </row>
    <row r="37" spans="1:9" ht="15" thickBot="1">
      <c r="A37" s="14" t="s">
        <v>111</v>
      </c>
      <c r="B37" s="14">
        <v>5.4040882039382598</v>
      </c>
      <c r="C37" s="14">
        <v>0.34163412822818845</v>
      </c>
      <c r="D37" s="14">
        <v>15.818349975646154</v>
      </c>
      <c r="E37" s="14">
        <v>5.282495176215921E-12</v>
      </c>
      <c r="F37" s="14">
        <v>4.686341534245126</v>
      </c>
      <c r="G37" s="14">
        <v>6.1218348736313937</v>
      </c>
      <c r="H37" s="14">
        <v>4.686341534245126</v>
      </c>
      <c r="I37" s="14">
        <v>6.1218348736313937</v>
      </c>
    </row>
    <row r="39" spans="1:9">
      <c r="A39" t="s">
        <v>87</v>
      </c>
    </row>
    <row r="40" spans="1:9" ht="15" thickBot="1"/>
    <row r="41" spans="1:9">
      <c r="A41" s="16" t="s">
        <v>88</v>
      </c>
      <c r="B41" s="16"/>
    </row>
    <row r="42" spans="1:9">
      <c r="A42" s="13" t="s">
        <v>89</v>
      </c>
      <c r="B42" s="13">
        <v>0.97427755524944515</v>
      </c>
    </row>
    <row r="43" spans="1:9">
      <c r="A43" s="13" t="s">
        <v>90</v>
      </c>
      <c r="B43" s="13">
        <v>0.94921675466283562</v>
      </c>
    </row>
    <row r="44" spans="1:9">
      <c r="A44" s="13" t="s">
        <v>91</v>
      </c>
      <c r="B44" s="13">
        <v>0.94639546325521529</v>
      </c>
    </row>
    <row r="45" spans="1:9">
      <c r="A45" s="13" t="s">
        <v>92</v>
      </c>
      <c r="B45" s="13">
        <v>0.35555744209610818</v>
      </c>
    </row>
    <row r="46" spans="1:9" ht="15" thickBot="1">
      <c r="A46" s="14" t="s">
        <v>93</v>
      </c>
      <c r="B46" s="14">
        <v>20</v>
      </c>
    </row>
    <row r="48" spans="1:9" ht="15" thickBot="1">
      <c r="A48" t="s">
        <v>94</v>
      </c>
    </row>
    <row r="49" spans="1:9">
      <c r="A49" s="15"/>
      <c r="B49" s="15" t="s">
        <v>99</v>
      </c>
      <c r="C49" s="15" t="s">
        <v>100</v>
      </c>
      <c r="D49" s="15" t="s">
        <v>101</v>
      </c>
      <c r="E49" s="15" t="s">
        <v>102</v>
      </c>
      <c r="F49" s="15" t="s">
        <v>103</v>
      </c>
    </row>
    <row r="50" spans="1:9">
      <c r="A50" s="13" t="s">
        <v>95</v>
      </c>
      <c r="B50" s="13">
        <v>1</v>
      </c>
      <c r="C50" s="13">
        <v>42.534075296661314</v>
      </c>
      <c r="D50" s="13">
        <v>42.534075296661314</v>
      </c>
      <c r="E50" s="13">
        <v>336.4476112247832</v>
      </c>
      <c r="F50" s="13">
        <v>4.2650242378098007E-13</v>
      </c>
    </row>
    <row r="51" spans="1:9">
      <c r="A51" s="13" t="s">
        <v>96</v>
      </c>
      <c r="B51" s="13">
        <v>18</v>
      </c>
      <c r="C51" s="13">
        <v>2.2755797033386918</v>
      </c>
      <c r="D51" s="13">
        <v>0.12642109462992732</v>
      </c>
      <c r="E51" s="13"/>
      <c r="F51" s="13"/>
    </row>
    <row r="52" spans="1:9" ht="15" thickBot="1">
      <c r="A52" s="14" t="s">
        <v>97</v>
      </c>
      <c r="B52" s="14">
        <v>19</v>
      </c>
      <c r="C52" s="14">
        <v>44.809655000000006</v>
      </c>
      <c r="D52" s="14"/>
      <c r="E52" s="14"/>
      <c r="F52" s="14"/>
    </row>
    <row r="53" spans="1:9" ht="15" thickBot="1"/>
    <row r="54" spans="1:9">
      <c r="A54" s="15"/>
      <c r="B54" s="15" t="s">
        <v>104</v>
      </c>
      <c r="C54" s="15" t="s">
        <v>92</v>
      </c>
      <c r="D54" s="15" t="s">
        <v>105</v>
      </c>
      <c r="E54" s="15" t="s">
        <v>106</v>
      </c>
      <c r="F54" s="15" t="s">
        <v>107</v>
      </c>
      <c r="G54" s="15" t="s">
        <v>108</v>
      </c>
      <c r="H54" s="15" t="s">
        <v>112</v>
      </c>
      <c r="I54" s="15" t="s">
        <v>113</v>
      </c>
    </row>
    <row r="55" spans="1:9">
      <c r="A55" s="13" t="s">
        <v>98</v>
      </c>
      <c r="B55" s="13">
        <v>-5.5252877708348418</v>
      </c>
      <c r="C55" s="13">
        <v>0.60882711194432115</v>
      </c>
      <c r="D55" s="13">
        <v>-9.0752984918650341</v>
      </c>
      <c r="E55" s="13">
        <v>3.8898039259727954E-8</v>
      </c>
      <c r="F55" s="13">
        <v>-6.8043860690149636</v>
      </c>
      <c r="G55" s="13">
        <v>-4.24618947265472</v>
      </c>
      <c r="H55" s="13">
        <v>-6.8043860690149636</v>
      </c>
      <c r="I55" s="13">
        <v>-4.24618947265472</v>
      </c>
    </row>
    <row r="56" spans="1:9" ht="15" thickBot="1">
      <c r="A56" s="14" t="s">
        <v>111</v>
      </c>
      <c r="B56" s="14">
        <v>1.2854891364725267</v>
      </c>
      <c r="C56" s="14">
        <v>7.0082516224781483E-2</v>
      </c>
      <c r="D56" s="14">
        <v>18.342508313335532</v>
      </c>
      <c r="E56" s="14">
        <v>4.2650242378098007E-13</v>
      </c>
      <c r="F56" s="14">
        <v>1.1382512335003332</v>
      </c>
      <c r="G56" s="14">
        <v>1.4327270394447202</v>
      </c>
      <c r="H56" s="14">
        <v>1.1382512335003332</v>
      </c>
      <c r="I56" s="14">
        <v>1.4327270394447202</v>
      </c>
    </row>
    <row r="58" spans="1:9">
      <c r="A58" t="s">
        <v>87</v>
      </c>
    </row>
    <row r="59" spans="1:9" ht="15" thickBot="1"/>
    <row r="60" spans="1:9">
      <c r="A60" s="16" t="s">
        <v>88</v>
      </c>
      <c r="B60" s="16"/>
    </row>
    <row r="61" spans="1:9">
      <c r="A61" s="13" t="s">
        <v>89</v>
      </c>
      <c r="B61" s="13">
        <v>0.98477731560916781</v>
      </c>
    </row>
    <row r="62" spans="1:9">
      <c r="A62" s="13" t="s">
        <v>90</v>
      </c>
      <c r="B62" s="13">
        <v>0.96978636133839846</v>
      </c>
    </row>
    <row r="63" spans="1:9">
      <c r="A63" s="13" t="s">
        <v>91</v>
      </c>
      <c r="B63" s="13">
        <v>0.96810782585719835</v>
      </c>
    </row>
    <row r="64" spans="1:9">
      <c r="A64" s="13" t="s">
        <v>92</v>
      </c>
      <c r="B64" s="13">
        <v>4.9547281853403853E-2</v>
      </c>
    </row>
    <row r="65" spans="1:9" ht="15" thickBot="1">
      <c r="A65" s="14" t="s">
        <v>93</v>
      </c>
      <c r="B65" s="14">
        <v>20</v>
      </c>
    </row>
    <row r="67" spans="1:9" ht="15" thickBot="1">
      <c r="A67" t="s">
        <v>94</v>
      </c>
    </row>
    <row r="68" spans="1:9">
      <c r="A68" s="15"/>
      <c r="B68" s="15" t="s">
        <v>99</v>
      </c>
      <c r="C68" s="15" t="s">
        <v>100</v>
      </c>
      <c r="D68" s="15" t="s">
        <v>101</v>
      </c>
      <c r="E68" s="15" t="s">
        <v>102</v>
      </c>
      <c r="F68" s="15" t="s">
        <v>103</v>
      </c>
    </row>
    <row r="69" spans="1:9">
      <c r="A69" s="13" t="s">
        <v>95</v>
      </c>
      <c r="B69" s="13">
        <v>1</v>
      </c>
      <c r="C69" s="13">
        <v>1.4183558839974759</v>
      </c>
      <c r="D69" s="13">
        <v>1.4183558839974759</v>
      </c>
      <c r="E69" s="13">
        <v>577.75743926785583</v>
      </c>
      <c r="F69" s="13">
        <v>3.9453913399663761E-15</v>
      </c>
    </row>
    <row r="70" spans="1:9">
      <c r="A70" s="13" t="s">
        <v>96</v>
      </c>
      <c r="B70" s="13">
        <v>18</v>
      </c>
      <c r="C70" s="13">
        <v>4.4188796503091571E-2</v>
      </c>
      <c r="D70" s="13">
        <v>2.4549331390606426E-3</v>
      </c>
      <c r="E70" s="13"/>
      <c r="F70" s="13"/>
    </row>
    <row r="71" spans="1:9" ht="15" thickBot="1">
      <c r="A71" s="14" t="s">
        <v>97</v>
      </c>
      <c r="B71" s="14">
        <v>19</v>
      </c>
      <c r="C71" s="14">
        <v>1.4625446805005675</v>
      </c>
      <c r="D71" s="14"/>
      <c r="E71" s="14"/>
      <c r="F71" s="14"/>
    </row>
    <row r="72" spans="1:9" ht="15" thickBot="1"/>
    <row r="73" spans="1:9">
      <c r="A73" s="15"/>
      <c r="B73" s="15" t="s">
        <v>104</v>
      </c>
      <c r="C73" s="15" t="s">
        <v>92</v>
      </c>
      <c r="D73" s="15" t="s">
        <v>105</v>
      </c>
      <c r="E73" s="15" t="s">
        <v>106</v>
      </c>
      <c r="F73" s="15" t="s">
        <v>107</v>
      </c>
      <c r="G73" s="15" t="s">
        <v>108</v>
      </c>
      <c r="H73" s="15" t="s">
        <v>112</v>
      </c>
      <c r="I73" s="15" t="s">
        <v>113</v>
      </c>
    </row>
    <row r="74" spans="1:9">
      <c r="A74" s="13" t="s">
        <v>98</v>
      </c>
      <c r="B74" s="13">
        <v>-2.5925133536949465</v>
      </c>
      <c r="C74" s="13">
        <v>0.17795959610727066</v>
      </c>
      <c r="D74" s="13">
        <v>-14.567988523261363</v>
      </c>
      <c r="E74" s="13">
        <v>2.0998418359367505E-11</v>
      </c>
      <c r="F74" s="13">
        <v>-2.9663925914291047</v>
      </c>
      <c r="G74" s="13">
        <v>-2.2186341159607883</v>
      </c>
      <c r="H74" s="13">
        <v>-2.9663925914291047</v>
      </c>
      <c r="I74" s="13">
        <v>-2.2186341159607883</v>
      </c>
    </row>
    <row r="75" spans="1:9" ht="15" thickBot="1">
      <c r="A75" s="14" t="s">
        <v>111</v>
      </c>
      <c r="B75" s="14">
        <v>0.99543703348878498</v>
      </c>
      <c r="C75" s="14">
        <v>4.1413412744174642E-2</v>
      </c>
      <c r="D75" s="14">
        <v>24.036585432790893</v>
      </c>
      <c r="E75" s="14">
        <v>3.9453913399664038E-15</v>
      </c>
      <c r="F75" s="14">
        <v>0.9084306818929494</v>
      </c>
      <c r="G75" s="14">
        <v>1.0824433850846207</v>
      </c>
      <c r="H75" s="14">
        <v>0.9084306818929494</v>
      </c>
      <c r="I75" s="14">
        <v>1.0824433850846207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activeCell="D11" sqref="D11"/>
    </sheetView>
  </sheetViews>
  <sheetFormatPr defaultRowHeight="14.4"/>
  <cols>
    <col min="1" max="1" width="36.5546875" style="17" bestFit="1" customWidth="1"/>
    <col min="2" max="16384" width="8.88671875" style="17"/>
  </cols>
  <sheetData>
    <row r="1" spans="1:2">
      <c r="A1" s="51" t="s">
        <v>77</v>
      </c>
      <c r="B1" s="29">
        <v>570</v>
      </c>
    </row>
    <row r="2" spans="1:2">
      <c r="A2" s="52" t="s">
        <v>81</v>
      </c>
      <c r="B2" s="29">
        <v>2.4300000000000002</v>
      </c>
    </row>
    <row r="3" spans="1:2">
      <c r="A3" s="51" t="s">
        <v>78</v>
      </c>
      <c r="B3" s="34">
        <f>EXP(B2)</f>
        <v>11.358882080001457</v>
      </c>
    </row>
    <row r="4" spans="1:2">
      <c r="A4" s="51" t="s">
        <v>79</v>
      </c>
      <c r="B4" s="29">
        <v>266.7</v>
      </c>
    </row>
    <row r="5" spans="1:2">
      <c r="A5" s="51" t="s">
        <v>80</v>
      </c>
      <c r="B5" s="29">
        <v>132.1</v>
      </c>
    </row>
    <row r="6" spans="1:2">
      <c r="A6" s="51" t="s">
        <v>82</v>
      </c>
      <c r="B6" s="32">
        <f>B1/2*LN(B4/B5)</f>
        <v>200.23108760301133</v>
      </c>
    </row>
    <row r="7" spans="1:2">
      <c r="A7" s="30" t="s">
        <v>83</v>
      </c>
      <c r="B7" s="29">
        <v>10.8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Пример 3.1</vt:lpstr>
      <vt:lpstr>Пример 3.2</vt:lpstr>
      <vt:lpstr>Пример 3.2 - Расчеты</vt:lpstr>
      <vt:lpstr>Пример 3.3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2026-03-30T07:27:25Z</dcterms:modified>
</cp:coreProperties>
</file>